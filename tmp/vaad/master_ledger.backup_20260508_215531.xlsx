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  <numFmt numFmtId="170" formatCode="_(* #,##0.0_);_(* \(#,##0.0\);_(* &quot;-&quot;?_);_(@_)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88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9" fontId="2" fillId="0" borderId="34" pivotButton="0" quotePrefix="0" xfId="0"/>
    <xf numFmtId="170" fontId="0" fillId="0" borderId="32" pivotButton="0" quotePrefix="0" xfId="0"/>
    <xf numFmtId="165" fontId="0" fillId="3" borderId="27" pivotButton="0" quotePrefix="0" xfId="44"/>
    <xf numFmtId="165" fontId="0" fillId="0" borderId="27" pivotButton="0" quotePrefix="0" xfId="44"/>
    <xf numFmtId="165" fontId="0" fillId="3" borderId="77" pivotButton="0" quotePrefix="0" xfId="44"/>
    <xf numFmtId="165" fontId="0" fillId="0" borderId="77" pivotButton="0" quotePrefix="0" xfId="44"/>
    <xf numFmtId="9" fontId="0" fillId="0" borderId="33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0" fillId="3" borderId="27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7" pivotButton="0" quotePrefix="0" xfId="44"/>
    <xf numFmtId="165" fontId="0" fillId="0" borderId="73" pivotButton="0" quotePrefix="0" xfId="0"/>
    <xf numFmtId="165" fontId="0" fillId="0" borderId="0" pivotButton="0" quotePrefix="0" xfId="0"/>
    <xf numFmtId="165" fontId="2" fillId="0" borderId="32" pivotButton="0" quotePrefix="0" xfId="0"/>
    <xf numFmtId="165" fontId="0" fillId="0" borderId="32" pivotButton="0" quotePrefix="0" xfId="0"/>
    <xf numFmtId="0" fontId="0" fillId="0" borderId="76" pivotButton="0" quotePrefix="0" xfId="0"/>
    <xf numFmtId="165" fontId="0" fillId="0" borderId="23" pivotButton="0" quotePrefix="0" xfId="44"/>
    <xf numFmtId="165" fontId="0" fillId="3" borderId="77" pivotButton="0" quotePrefix="0" xfId="44"/>
    <xf numFmtId="165" fontId="0" fillId="0" borderId="77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8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8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3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6" formatCode="_-&quot;₪&quot;* #,##0.0_-;\-&quot;₪&quot;* #,##0.0_-;_-&quot;₪&quot;* &quot;-&quot;??_-;_-@_-"/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24</col>
      <colOff>495300</colOff>
      <row>1</row>
      <rowOff>28575</rowOff>
    </from>
    <to>
      <col>32</col>
      <colOff>190500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2" tableBorderDxfId="31">
  <autoFilter ref="B1:S66"/>
  <tableColumns count="18">
    <tableColumn id="1" name="דירה" dataDxfId="30"/>
    <tableColumn id="2" name="משפחה" dataDxfId="29"/>
    <tableColumn id="4" name="בעל דירה" dataCellStyle="Normal"/>
    <tableColumn id="5" name="ינואר" dataDxfId="28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20" headerRowCount="1" totalsRowShown="0">
  <autoFilter ref="A1:P20"/>
  <tableColumns count="16">
    <tableColumn id="1" name="הוצאה"/>
    <tableColumn id="2" name="ינואר 25" dataDxfId="27" dataCellStyle="Currency"/>
    <tableColumn id="3" name="פברואר 25" dataDxfId="26" dataCellStyle="Currency">
      <calculatedColumnFormula>25+24.75</calculatedColumnFormula>
    </tableColumn>
    <tableColumn id="4" name="מרץ 25" dataDxfId="25" dataCellStyle="Currency">
      <calculatedColumnFormula>25+8.25</calculatedColumnFormula>
    </tableColumn>
    <tableColumn id="5" name="אפריל 25" dataDxfId="24" dataCellStyle="Currency"/>
    <tableColumn id="6" name="מאי 25" dataDxfId="23" dataCellStyle="Currency">
      <calculatedColumnFormula>25+21.5</calculatedColumnFormula>
    </tableColumn>
    <tableColumn id="7" name="יוני 25" dataDxfId="22" dataCellStyle="Currency">
      <calculatedColumnFormula>25+16.5</calculatedColumnFormula>
    </tableColumn>
    <tableColumn id="8" name="יולי 25" dataDxfId="21" dataCellStyle="Currency">
      <calculatedColumnFormula>25+23.1</calculatedColumnFormula>
    </tableColumn>
    <tableColumn id="9" name="אוגוסט 25" dataDxfId="20" dataCellStyle="Currency"/>
    <tableColumn id="10" name="ספטמבר 25" dataDxfId="19" dataCellStyle="Currency"/>
    <tableColumn id="11" name="אוקטובר 25" dataDxfId="18" dataCellStyle="Currency">
      <calculatedColumnFormula>25+23.1</calculatedColumnFormula>
    </tableColumn>
    <tableColumn id="12" name="נובמבר 25" dataDxfId="17" dataCellStyle="Currency">
      <calculatedColumnFormula>25+11.55</calculatedColumnFormula>
    </tableColumn>
    <tableColumn id="13" name="דצמבר 25" dataDxfId="16" dataCellStyle="Currency">
      <calculatedColumnFormula>25+16.5</calculatedColumnFormula>
    </tableColumn>
    <tableColumn id="14" name="ממוצא חודשי" dataDxfId="15" dataCellStyle="Currency">
      <calculatedColumnFormula>AVERAGE(Table2[[#This Row],[ינואר 25]:[דצמבר 25]])</calculatedColumnFormula>
    </tableColumn>
    <tableColumn id="15" name="סה&quot;כ שנתי" dataDxfId="14" dataCellStyle="Currency">
      <calculatedColumnFormula>SUM(Table2[[#This Row],[ינואר 25]:[דצמבר 25]])</calculatedColumnFormula>
    </tableColumn>
    <tableColumn id="16" name="שנתי כולל" dataDxfId="13" dataCellStyle="Currency">
      <calculatedColumnFormula>4000*12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opLeftCell="A2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26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54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55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26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54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54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54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55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26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54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54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54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55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26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54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54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54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55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26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54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54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54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55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26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54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54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54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55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26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54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54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54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55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26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54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54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54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55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26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54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54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54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55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26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54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54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54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55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26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54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54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54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55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29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54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54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54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55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26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55" t="n"/>
      <c r="B61" s="59" t="n">
        <v>60</v>
      </c>
      <c r="C61" s="256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57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57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58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57" t="n"/>
    </row>
    <row r="66">
      <c r="B66" s="137" t="inlineStr">
        <is>
          <t>הכנסות נוספות</t>
        </is>
      </c>
      <c r="C66" s="257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rightToLeft="1" tabSelected="1" zoomScale="130" zoomScaleNormal="130" workbookViewId="0">
      <selection activeCell="F25" sqref="F25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2.855468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  <col width="12.85546875" bestFit="1" customWidth="1" style="177" min="16" max="16"/>
    <col width="35.42578125" bestFit="1" customWidth="1" style="177" min="19" max="19"/>
    <col width="25.85546875" bestFit="1" customWidth="1" style="177" min="20" max="20"/>
    <col width="24.42578125" bestFit="1" customWidth="1" style="177" min="21" max="21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  <c r="P1" t="inlineStr">
        <is>
          <t>שנתי כולל</t>
        </is>
      </c>
    </row>
    <row r="2">
      <c r="A2" s="18" t="inlineStr">
        <is>
          <t>יניב אחזקות</t>
        </is>
      </c>
      <c r="B2" s="259" t="n">
        <v>7500</v>
      </c>
      <c r="C2" s="259" t="n">
        <v>7500</v>
      </c>
      <c r="D2" s="259" t="n">
        <v>7500</v>
      </c>
      <c r="E2" s="260" t="n">
        <v>7500</v>
      </c>
      <c r="F2" s="259" t="n"/>
      <c r="G2" s="259" t="n"/>
      <c r="H2" s="259" t="n"/>
      <c r="I2" s="259" t="n"/>
      <c r="J2" s="259" t="n"/>
      <c r="K2" s="259" t="n"/>
      <c r="L2" s="259" t="n"/>
      <c r="M2" s="259" t="n"/>
      <c r="N2" s="261">
        <f>AVERAGE(Table2[[#This Row],[ינואר 25]:[דצמבר 25]])</f>
        <v/>
      </c>
      <c r="O2" s="262">
        <f>SUM(Table2[[#This Row],[ינואר 25]:[דצמבר 25]])</f>
        <v/>
      </c>
      <c r="P2" s="259">
        <f>7500*12</f>
        <v/>
      </c>
      <c r="S2" s="167" t="inlineStr">
        <is>
          <t>הוצאות שוטפות שנתי הערכה</t>
        </is>
      </c>
      <c r="T2" s="62" t="inlineStr">
        <is>
          <t>הכנסות דמי ועד שנתי</t>
        </is>
      </c>
      <c r="U2" s="63" t="inlineStr">
        <is>
          <t>הפרש להוצאות כללי</t>
        </is>
      </c>
    </row>
    <row r="3">
      <c r="A3" s="18" t="inlineStr">
        <is>
          <t>קונה מעליות</t>
        </is>
      </c>
      <c r="B3" s="259" t="n">
        <v>4361.79</v>
      </c>
      <c r="C3" s="259" t="n">
        <v>4361.79</v>
      </c>
      <c r="D3" s="259" t="n">
        <v>4549.48</v>
      </c>
      <c r="E3" s="263" t="n">
        <v>4558.28</v>
      </c>
      <c r="F3" s="259" t="n"/>
      <c r="G3" s="259" t="n"/>
      <c r="H3" s="259" t="n"/>
      <c r="I3" s="259" t="n"/>
      <c r="J3" s="259" t="n"/>
      <c r="K3" s="259" t="n"/>
      <c r="L3" s="259" t="n"/>
      <c r="M3" s="259" t="n"/>
      <c r="N3" s="261">
        <f>AVERAGE(Table2[[#This Row],[ינואר 25]:[דצמבר 25]])</f>
        <v/>
      </c>
      <c r="O3" s="262">
        <f>SUM(Table2[[#This Row],[ינואר 25]:[דצמבר 25]])</f>
        <v/>
      </c>
      <c r="P3" s="259">
        <f>4300*12</f>
        <v/>
      </c>
      <c r="S3" s="264">
        <f>SUM(P2:P12)</f>
        <v/>
      </c>
      <c r="T3" s="265">
        <f>350*56*12</f>
        <v/>
      </c>
      <c r="U3" s="266">
        <f>T3-S3</f>
        <v/>
      </c>
    </row>
    <row r="4">
      <c r="A4" s="18" t="inlineStr">
        <is>
          <t>חשמל ציבורי</t>
        </is>
      </c>
      <c r="B4" s="259" t="n">
        <v>3545.6</v>
      </c>
      <c r="C4" s="259" t="n">
        <v>3595.06</v>
      </c>
      <c r="D4" s="259" t="n">
        <v>3233.77</v>
      </c>
      <c r="E4" s="260" t="n">
        <v>3353.66</v>
      </c>
      <c r="F4" s="259" t="n"/>
      <c r="G4" s="259" t="n"/>
      <c r="H4" s="259" t="n"/>
      <c r="I4" s="259" t="n"/>
      <c r="J4" s="259" t="n"/>
      <c r="K4" s="259" t="n"/>
      <c r="L4" s="259" t="n"/>
      <c r="M4" s="259" t="n"/>
      <c r="N4" s="261">
        <f>AVERAGE(Table2[[#This Row],[ינואר 25]:[דצמבר 25]])</f>
        <v/>
      </c>
      <c r="O4" s="262">
        <f>SUM(Table2[[#This Row],[ינואר 25]:[דצמבר 25]])</f>
        <v/>
      </c>
      <c r="P4" s="259">
        <f>3600*12</f>
        <v/>
      </c>
      <c r="S4" s="168" t="n"/>
      <c r="U4" s="46" t="n"/>
    </row>
    <row r="5">
      <c r="A5" s="18" t="inlineStr">
        <is>
          <t>גינון</t>
        </is>
      </c>
      <c r="B5" s="259" t="n">
        <v>1500</v>
      </c>
      <c r="C5" s="259" t="n">
        <v>900</v>
      </c>
      <c r="D5" s="259" t="n">
        <v>900</v>
      </c>
      <c r="E5" s="263" t="n">
        <v>900</v>
      </c>
      <c r="F5" s="259" t="n"/>
      <c r="G5" s="259" t="n"/>
      <c r="H5" s="259" t="n"/>
      <c r="I5" s="259" t="n"/>
      <c r="J5" s="259" t="n"/>
      <c r="K5" s="259" t="n"/>
      <c r="L5" s="259" t="n"/>
      <c r="M5" s="259" t="n"/>
      <c r="N5" s="261">
        <f>AVERAGE(Table2[[#This Row],[ינואר 25]:[דצמבר 25]])</f>
        <v/>
      </c>
      <c r="O5" s="262">
        <f>SUM(Table2[[#This Row],[ינואר 25]:[דצמבר 25]])</f>
        <v/>
      </c>
      <c r="P5" s="259">
        <f>900*12</f>
        <v/>
      </c>
      <c r="S5" s="168" t="n"/>
      <c r="U5" s="46" t="inlineStr">
        <is>
          <t>הוצאות כללי בפועל דינאמי</t>
        </is>
      </c>
    </row>
    <row r="6">
      <c r="A6" s="18" t="inlineStr">
        <is>
          <t>ביטוח</t>
        </is>
      </c>
      <c r="B6" s="259" t="n">
        <v>981</v>
      </c>
      <c r="C6" s="259" t="n">
        <v>982</v>
      </c>
      <c r="D6" s="259" t="n">
        <v>979</v>
      </c>
      <c r="E6" s="260" t="n">
        <v>981</v>
      </c>
      <c r="F6" s="259" t="n"/>
      <c r="G6" s="259" t="n"/>
      <c r="H6" s="259" t="n"/>
      <c r="I6" s="259" t="n"/>
      <c r="J6" s="259" t="n"/>
      <c r="K6" s="259" t="n"/>
      <c r="L6" s="259" t="n"/>
      <c r="M6" s="259" t="n"/>
      <c r="N6" s="261">
        <f>AVERAGE(Table2[[#This Row],[ינואר 25]:[דצמבר 25]])</f>
        <v/>
      </c>
      <c r="O6" s="262">
        <f>SUM(Table2[[#This Row],[ינואר 25]:[דצמבר 25]])</f>
        <v/>
      </c>
      <c r="P6" s="259">
        <f>981*12</f>
        <v/>
      </c>
      <c r="S6" s="228" t="inlineStr">
        <is>
          <t>הערכת תקציב שנתית ללא קופה קטנה</t>
        </is>
      </c>
      <c r="U6" s="267">
        <f>O13</f>
        <v/>
      </c>
    </row>
    <row r="7">
      <c r="A7" s="18" t="inlineStr">
        <is>
          <t>ארדן בטיחות</t>
        </is>
      </c>
      <c r="B7" s="259" t="n">
        <v>780.11</v>
      </c>
      <c r="C7" s="259" t="n">
        <v>780.11</v>
      </c>
      <c r="D7" s="259" t="n">
        <v>780.11</v>
      </c>
      <c r="E7" s="263" t="n">
        <v>0</v>
      </c>
      <c r="F7" s="259" t="n"/>
      <c r="G7" s="259" t="n"/>
      <c r="H7" s="259" t="n"/>
      <c r="I7" s="259" t="n"/>
      <c r="J7" s="259" t="n"/>
      <c r="K7" s="259" t="n"/>
      <c r="L7" s="259" t="n"/>
      <c r="M7" s="259" t="n"/>
      <c r="N7" s="261">
        <f>AVERAGE(Table2[[#This Row],[ינואר 25]:[דצמבר 25]])</f>
        <v/>
      </c>
      <c r="O7" s="262">
        <f>SUM(Table2[[#This Row],[ינואר 25]:[דצמבר 25]])</f>
        <v/>
      </c>
      <c r="P7" s="259">
        <f>780*12</f>
        <v/>
      </c>
      <c r="S7" s="254" t="n"/>
      <c r="U7" s="46" t="n"/>
    </row>
    <row r="8">
      <c r="A8" s="18" t="inlineStr">
        <is>
          <t>פרטנר</t>
        </is>
      </c>
      <c r="B8" s="259" t="n">
        <v>90.77</v>
      </c>
      <c r="C8" s="259" t="n">
        <v>90.77</v>
      </c>
      <c r="D8" s="259" t="n">
        <v>90.77</v>
      </c>
      <c r="E8" s="260" t="n">
        <v>90.77</v>
      </c>
      <c r="F8" s="259" t="n"/>
      <c r="G8" s="259" t="n"/>
      <c r="H8" s="259" t="n"/>
      <c r="I8" s="259" t="n"/>
      <c r="J8" s="259" t="n"/>
      <c r="K8" s="259" t="n"/>
      <c r="L8" s="259" t="n"/>
      <c r="M8" s="259" t="n"/>
      <c r="N8" s="261">
        <f>AVERAGE(Table2[[#This Row],[ינואר 25]:[דצמבר 25]])</f>
        <v/>
      </c>
      <c r="O8" s="262">
        <f>SUM(Table2[[#This Row],[ינואר 25]:[דצמבר 25]])</f>
        <v/>
      </c>
      <c r="P8" s="259">
        <f>91*12</f>
        <v/>
      </c>
      <c r="S8" s="254" t="n"/>
      <c r="U8" s="46" t="inlineStr">
        <is>
          <t>אחוזי עמידה</t>
        </is>
      </c>
    </row>
    <row r="9">
      <c r="A9" s="200" t="inlineStr">
        <is>
          <t>Novula - מסך טלויזיה</t>
        </is>
      </c>
      <c r="B9" s="259" t="n">
        <v>0</v>
      </c>
      <c r="C9" s="259" t="n">
        <v>0</v>
      </c>
      <c r="D9" s="259">
        <f>77+74.25</f>
        <v/>
      </c>
      <c r="E9" s="263" t="n">
        <v>77</v>
      </c>
      <c r="F9" s="259" t="n"/>
      <c r="G9" s="259" t="n"/>
      <c r="H9" s="259" t="n"/>
      <c r="I9" s="259" t="n"/>
      <c r="J9" s="259" t="n"/>
      <c r="K9" s="259" t="n"/>
      <c r="L9" s="259" t="n"/>
      <c r="M9" s="259" t="n"/>
      <c r="N9" s="261">
        <f>AVERAGE(Table2[[#This Row],[ינואר 25]:[דצמבר 25]])</f>
        <v/>
      </c>
      <c r="O9" s="262">
        <f>SUM(Table2[[#This Row],[ינואר 25]:[דצמבר 25]])</f>
        <v/>
      </c>
      <c r="P9" s="259">
        <f>80*12</f>
        <v/>
      </c>
      <c r="S9" s="268" t="n"/>
      <c r="T9" s="53" t="n"/>
      <c r="U9" s="216">
        <f>U6/U3</f>
        <v/>
      </c>
    </row>
    <row r="10">
      <c r="A10" s="18" t="inlineStr">
        <is>
          <t>בזק</t>
        </is>
      </c>
      <c r="B10" s="259" t="n">
        <v>24.57</v>
      </c>
      <c r="C10" s="259" t="n">
        <v>0</v>
      </c>
      <c r="D10" s="259">
        <f>24.57+24.57</f>
        <v/>
      </c>
      <c r="E10" s="260" t="n">
        <v>24.57</v>
      </c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61">
        <f>AVERAGE(Table2[[#This Row],[ינואר 25]:[דצמבר 25]])</f>
        <v/>
      </c>
      <c r="O10" s="262">
        <f>SUM(Table2[[#This Row],[ינואר 25]:[דצמבר 25]])</f>
        <v/>
      </c>
      <c r="P10" s="259">
        <f>25*12</f>
        <v/>
      </c>
    </row>
    <row r="11">
      <c r="A11" s="18" t="inlineStr">
        <is>
          <t>מסלול בנק</t>
        </is>
      </c>
      <c r="B11" s="259" t="n">
        <v>25</v>
      </c>
      <c r="C11" s="259" t="n">
        <v>25</v>
      </c>
      <c r="D11" s="259" t="n">
        <v>25</v>
      </c>
      <c r="E11" s="263" t="n">
        <v>25</v>
      </c>
      <c r="F11" s="259" t="n"/>
      <c r="G11" s="259" t="n"/>
      <c r="H11" s="259" t="n"/>
      <c r="I11" s="259" t="n"/>
      <c r="J11" s="259" t="n"/>
      <c r="K11" s="259" t="n"/>
      <c r="L11" s="259" t="n"/>
      <c r="M11" s="259" t="n"/>
      <c r="N11" s="261">
        <f>AVERAGE(Table2[[#This Row],[ינואר 25]:[דצמבר 25]])</f>
        <v/>
      </c>
      <c r="O11" s="262">
        <f>SUM(Table2[[#This Row],[ינואר 25]:[דצמבר 25]])</f>
        <v/>
      </c>
      <c r="P11" s="259">
        <f>25*12</f>
        <v/>
      </c>
    </row>
    <row r="12">
      <c r="A12" s="19" t="inlineStr">
        <is>
          <t>עמלות בנק</t>
        </is>
      </c>
      <c r="B12" s="269" t="n">
        <v>14.85</v>
      </c>
      <c r="C12" s="269" t="n">
        <v>14.85</v>
      </c>
      <c r="D12" s="269" t="n">
        <v>24.75</v>
      </c>
      <c r="E12" s="270" t="n">
        <v>26.4</v>
      </c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1">
        <f>AVERAGE(Table2[[#This Row],[ינואר 25]:[דצמבר 25]])</f>
        <v/>
      </c>
      <c r="O12" s="262">
        <f>SUM(Table2[[#This Row],[ינואר 25]:[דצמבר 25]])</f>
        <v/>
      </c>
      <c r="P12" s="259">
        <f>20*12</f>
        <v/>
      </c>
      <c r="S12" s="167" t="inlineStr">
        <is>
          <t>הוצאות שוטפות שנתי דינאמי</t>
        </is>
      </c>
      <c r="T12" s="62" t="inlineStr">
        <is>
          <t>הכנסות דמי ועד שנתי דינאמי</t>
        </is>
      </c>
      <c r="U12" s="63" t="inlineStr">
        <is>
          <t>הפרש להוצאות כללי</t>
        </is>
      </c>
    </row>
    <row r="13">
      <c r="A13" s="19" t="inlineStr">
        <is>
          <t>כללי</t>
        </is>
      </c>
      <c r="B13" s="269" t="n">
        <v>606</v>
      </c>
      <c r="C13" s="269">
        <f>500+700+48.38+177+665+650+350</f>
        <v/>
      </c>
      <c r="D13" s="269" t="n">
        <v>6500</v>
      </c>
      <c r="E13" s="271" t="n">
        <v>2734.9</v>
      </c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1" t="n"/>
      <c r="O13" s="262">
        <f>SUM(Table2[[#This Row],[ינואר 25]:[דצמבר 25]])</f>
        <v/>
      </c>
      <c r="P13" s="259" t="n"/>
      <c r="S13" s="264">
        <f>SUM(O2:O12)</f>
        <v/>
      </c>
      <c r="T13" s="265">
        <f>SUM(B19:M19)</f>
        <v/>
      </c>
      <c r="U13" s="217">
        <f>T13-S13</f>
        <v/>
      </c>
    </row>
    <row r="14">
      <c r="A14" s="19" t="inlineStr">
        <is>
          <t>קופה קטנה</t>
        </is>
      </c>
      <c r="B14" s="269">
        <f>'קופה קטנה'!B43</f>
        <v/>
      </c>
      <c r="C14" s="269">
        <f>'קופה קטנה'!C43</f>
        <v/>
      </c>
      <c r="D14" s="269">
        <f>'קופה קטנה'!D43</f>
        <v/>
      </c>
      <c r="E14" s="269">
        <f>'קופה קטנה'!E43</f>
        <v/>
      </c>
      <c r="F14" s="269">
        <f>'קופה קטנה'!F43</f>
        <v/>
      </c>
      <c r="G14" s="269">
        <f>'קופה קטנה'!G43</f>
        <v/>
      </c>
      <c r="H14" s="269">
        <f>'קופה קטנה'!H43</f>
        <v/>
      </c>
      <c r="I14" s="269">
        <f>'קופה קטנה'!I43</f>
        <v/>
      </c>
      <c r="J14" s="269">
        <f>'קופה קטנה'!J43</f>
        <v/>
      </c>
      <c r="K14" s="269">
        <f>'קופה קטנה'!K43</f>
        <v/>
      </c>
      <c r="L14" s="269">
        <f>'קופה קטנה'!L43</f>
        <v/>
      </c>
      <c r="M14" s="269">
        <f>'קופה קטנה'!M43</f>
        <v/>
      </c>
      <c r="N14" s="261" t="n"/>
      <c r="O14" s="262" t="n"/>
      <c r="P14" s="259" t="n"/>
      <c r="S14" s="168" t="n"/>
      <c r="U14" s="46" t="n"/>
    </row>
    <row r="15">
      <c r="A15" s="19" t="n"/>
      <c r="B15" s="269" t="n"/>
      <c r="C15" s="269" t="n"/>
      <c r="D15" s="269" t="n"/>
      <c r="E15" s="269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1" t="n"/>
      <c r="O15" s="262" t="n"/>
      <c r="P15" s="259" t="n"/>
      <c r="S15" s="168" t="n"/>
      <c r="U15" s="46" t="inlineStr">
        <is>
          <t>הוצאות כללי בפועל דינאמי</t>
        </is>
      </c>
    </row>
    <row r="16">
      <c r="A16" s="27" t="inlineStr">
        <is>
          <t>הוצאות שוטף</t>
        </is>
      </c>
      <c r="B16" s="272">
        <f>SUM(B2:B13)</f>
        <v/>
      </c>
      <c r="C16" s="272">
        <f>SUM(C2:C13)</f>
        <v/>
      </c>
      <c r="D16" s="272">
        <f>SUM(D2:D13)</f>
        <v/>
      </c>
      <c r="E16" s="272">
        <f>SUM(E2:E13)</f>
        <v/>
      </c>
      <c r="F16" s="272">
        <f>SUM(F2:F13)</f>
        <v/>
      </c>
      <c r="G16" s="272">
        <f>SUM(G2:G13)</f>
        <v/>
      </c>
      <c r="H16" s="272">
        <f>SUM(H2:H13)</f>
        <v/>
      </c>
      <c r="I16" s="272">
        <f>SUM(I2:I13)</f>
        <v/>
      </c>
      <c r="J16" s="272">
        <f>SUM(J2:J13)</f>
        <v/>
      </c>
      <c r="K16" s="272">
        <f>SUM(K2:K13)</f>
        <v/>
      </c>
      <c r="L16" s="272">
        <f>SUM(L2:L13)</f>
        <v/>
      </c>
      <c r="M16" s="272">
        <f>SUM(M2:M13)</f>
        <v/>
      </c>
      <c r="N16" s="273">
        <f>AVERAGE(Table2[[#This Row],[ינואר 25]:[דצמבר 25]])</f>
        <v/>
      </c>
      <c r="O16" s="274">
        <f>SUM(Table2[[#This Row],[ינואר 25]:[דצמבר 25]])</f>
        <v/>
      </c>
      <c r="P16" s="259" t="n"/>
      <c r="S16" s="228" t="inlineStr">
        <is>
          <t>ביצועי תקציב שנתית ללא קופה קטנה</t>
        </is>
      </c>
      <c r="U16" s="267">
        <f>O13</f>
        <v/>
      </c>
    </row>
    <row r="17">
      <c r="A17" s="32" t="inlineStr">
        <is>
          <t>הוצאות לא שוטף</t>
        </is>
      </c>
      <c r="B17" s="272">
        <f>SUM(B14)</f>
        <v/>
      </c>
      <c r="C17" s="272">
        <f>SUM(C14)</f>
        <v/>
      </c>
      <c r="D17" s="272">
        <f>SUM(D14)</f>
        <v/>
      </c>
      <c r="E17" s="272">
        <f>SUM(E14)</f>
        <v/>
      </c>
      <c r="F17" s="272">
        <f>SUM(F14)</f>
        <v/>
      </c>
      <c r="G17" s="272">
        <f>SUM(G14)</f>
        <v/>
      </c>
      <c r="H17" s="272">
        <f>SUM(H14)</f>
        <v/>
      </c>
      <c r="I17" s="272">
        <f>SUM(I14)</f>
        <v/>
      </c>
      <c r="J17" s="272">
        <f>SUM(J14)</f>
        <v/>
      </c>
      <c r="K17" s="272">
        <f>SUM(K14)</f>
        <v/>
      </c>
      <c r="L17" s="272">
        <f>SUM(L14)</f>
        <v/>
      </c>
      <c r="M17" s="272">
        <f>SUM(M14)</f>
        <v/>
      </c>
      <c r="N17" s="261">
        <f>AVERAGE(Table2[[#This Row],[ינואר 25]:[דצמבר 25]])</f>
        <v/>
      </c>
      <c r="O17" s="262">
        <f>SUM(Table2[[#This Row],[ינואר 25]:[דצמבר 25]])</f>
        <v/>
      </c>
      <c r="P17" s="259" t="n"/>
      <c r="S17" s="254" t="n"/>
      <c r="U17" s="46" t="n"/>
    </row>
    <row r="18">
      <c r="A18" t="inlineStr">
        <is>
          <t>הוצאות סה"כ</t>
        </is>
      </c>
      <c r="B18" s="272">
        <f>SUM(B16:B17)</f>
        <v/>
      </c>
      <c r="C18" s="272">
        <f>SUM(C16:C17)</f>
        <v/>
      </c>
      <c r="D18" s="272">
        <f>SUM(D16:D17)</f>
        <v/>
      </c>
      <c r="E18" s="272">
        <f>SUM(E16:E17)</f>
        <v/>
      </c>
      <c r="F18" s="272">
        <f>SUM(F16:F17)</f>
        <v/>
      </c>
      <c r="G18" s="272">
        <f>SUM(G16:G17)</f>
        <v/>
      </c>
      <c r="H18" s="272">
        <f>SUM(H16:H17)</f>
        <v/>
      </c>
      <c r="I18" s="272">
        <f>SUM(I16:I17)</f>
        <v/>
      </c>
      <c r="J18" s="272">
        <f>SUM(J16:J17)</f>
        <v/>
      </c>
      <c r="K18" s="272">
        <f>SUM(K16:K17)</f>
        <v/>
      </c>
      <c r="L18" s="272">
        <f>SUM(L16:L17)</f>
        <v/>
      </c>
      <c r="M18" s="272">
        <f>SUM(M16:M17)</f>
        <v/>
      </c>
      <c r="N18" s="261">
        <f>AVERAGE(Table2[[#This Row],[ינואר 25]:[דצמבר 25]])</f>
        <v/>
      </c>
      <c r="O18" s="262">
        <f>SUM(Table2[[#This Row],[ינואר 25]:[דצמבר 25]])</f>
        <v/>
      </c>
      <c r="P18" s="259" t="n"/>
      <c r="S18" s="254" t="n"/>
      <c r="U18" s="46" t="inlineStr">
        <is>
          <t>אחוזי עמידה דינאמי</t>
        </is>
      </c>
    </row>
    <row r="19">
      <c r="A19" t="inlineStr">
        <is>
          <t>הכנסות שוטף</t>
        </is>
      </c>
      <c r="B19" s="259">
        <f>'גביה 2026'!E62</f>
        <v/>
      </c>
      <c r="C19" s="259">
        <f>'גביה 2026'!F62</f>
        <v/>
      </c>
      <c r="D19" s="259">
        <f>'גביה 2026'!G62</f>
        <v/>
      </c>
      <c r="E19" s="259">
        <f>'גביה 2026'!H62</f>
        <v/>
      </c>
      <c r="F19" s="259">
        <f>'גביה 2026'!I62</f>
        <v/>
      </c>
      <c r="G19" s="259">
        <f>'גביה 2026'!J62</f>
        <v/>
      </c>
      <c r="H19" s="259">
        <f>'גביה 2026'!K62</f>
        <v/>
      </c>
      <c r="I19" s="259">
        <f>'גביה 2026'!L62</f>
        <v/>
      </c>
      <c r="J19" s="259">
        <f>'גביה 2026'!M62</f>
        <v/>
      </c>
      <c r="K19" s="259">
        <f>'גביה 2026'!N62</f>
        <v/>
      </c>
      <c r="L19" s="259">
        <f>'גביה 2026'!O62</f>
        <v/>
      </c>
      <c r="M19" s="259">
        <f>'גביה 2026'!P62</f>
        <v/>
      </c>
      <c r="N19" s="261">
        <f>AVERAGE(Table2[[#This Row],[ינואר 25]:[דצמבר 25]])</f>
        <v/>
      </c>
      <c r="O19" s="262">
        <f>SUM(Table2[[#This Row],[ינואר 25]:[דצמבר 25]])</f>
        <v/>
      </c>
      <c r="P19" s="259" t="n"/>
      <c r="S19" s="268" t="n"/>
      <c r="T19" s="222" t="n"/>
      <c r="U19" s="216">
        <f>U16/U13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61">
        <f>AVERAGE(Table2[[#This Row],[ינואר 25]:[דצמבר 25]])</f>
        <v/>
      </c>
      <c r="O20" s="262">
        <f>SUM(Table2[[#This Row],[ינואר 25]:[דצמבר 25]])</f>
        <v/>
      </c>
      <c r="P20" s="259" t="n"/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60" t="n">
        <v>3418.26</v>
      </c>
      <c r="C31" s="260" t="n">
        <v>3709.15</v>
      </c>
      <c r="D31" s="260" t="n">
        <v>3132.7</v>
      </c>
      <c r="E31" s="260" t="n">
        <v>2419.7</v>
      </c>
      <c r="F31" s="260" t="n">
        <v>2815.9</v>
      </c>
      <c r="G31" s="260" t="n">
        <v>2654.16</v>
      </c>
      <c r="H31" s="260" t="n">
        <v>4136.59</v>
      </c>
      <c r="I31" s="260" t="n">
        <v>4659.15</v>
      </c>
      <c r="J31" s="260" t="n">
        <v>3864.61</v>
      </c>
      <c r="K31" s="260" t="n">
        <v>3852.93</v>
      </c>
      <c r="L31" s="260" t="n">
        <v>2405.74</v>
      </c>
      <c r="M31" s="260" t="n">
        <v>2342.94</v>
      </c>
      <c r="N31" s="275">
        <f>AVERAGE(Table2[[#This Row],[ינואר 25]:[דצמבר 25]])</f>
        <v/>
      </c>
      <c r="O31" s="276">
        <f>SUM(Table2[[#This Row],[ינואר 25]:[דצמבר 25]])</f>
        <v/>
      </c>
    </row>
  </sheetData>
  <mergeCells count="2">
    <mergeCell ref="S6:S9"/>
    <mergeCell ref="S16:S19"/>
  </mergeCells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30" t="inlineStr">
        <is>
          <t>בנק לאומי |</t>
        </is>
      </c>
    </row>
    <row r="2">
      <c r="A2" s="231" t="inlineStr">
        <is>
          <t>מס' חשבון : ‏‏ ‎885-37554/82‎</t>
        </is>
      </c>
    </row>
    <row r="3">
      <c r="A3" s="231" t="inlineStr">
        <is>
          <t>תאריך שמירה/הדפסה: 9/2/2026</t>
        </is>
      </c>
    </row>
    <row r="4">
      <c r="A4" s="232" t="n"/>
    </row>
    <row r="5" ht="15.75" customHeight="1" s="177">
      <c r="A5" s="233" t="inlineStr">
        <is>
          <t>היתרה</t>
        </is>
      </c>
      <c r="C5" s="234" t="inlineStr">
        <is>
          <t>מסגרת האשראי</t>
        </is>
      </c>
      <c r="E5" s="235" t="inlineStr">
        <is>
          <t>נכון לתאריך</t>
        </is>
      </c>
      <c r="G5" s="182" t="n"/>
      <c r="H5" s="182" t="n"/>
      <c r="I5" s="182" t="n"/>
    </row>
    <row r="6">
      <c r="A6" s="231" t="n"/>
      <c r="C6" s="236" t="n"/>
      <c r="E6" s="237" t="n"/>
      <c r="G6" s="182" t="n"/>
      <c r="H6" s="182" t="n"/>
      <c r="I6" s="182" t="n"/>
    </row>
    <row r="7">
      <c r="A7" s="238" t="inlineStr">
        <is>
          <t>₪ 22,270.89</t>
        </is>
      </c>
      <c r="C7" s="239" t="inlineStr">
        <is>
          <t>₪ 0.00</t>
        </is>
      </c>
      <c r="E7" s="240" t="inlineStr">
        <is>
          <t>09.02.26</t>
        </is>
      </c>
      <c r="G7" s="182" t="n"/>
      <c r="H7" s="182" t="n"/>
      <c r="I7" s="182" t="n"/>
    </row>
    <row r="8">
      <c r="A8" s="238" t="inlineStr">
        <is>
          <t>* כולל תנועות היום</t>
        </is>
      </c>
      <c r="C8" s="236" t="n"/>
      <c r="E8" s="237" t="n"/>
      <c r="G8" s="182" t="n"/>
      <c r="H8" s="182" t="n"/>
      <c r="I8" s="182" t="n"/>
    </row>
    <row r="9">
      <c r="A9" s="241" t="n"/>
    </row>
    <row r="10">
      <c r="A10" s="241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42" t="inlineStr">
        <is>
          <t>בנק לאומי |</t>
        </is>
      </c>
    </row>
    <row r="2">
      <c r="A2" s="242" t="inlineStr">
        <is>
          <t>מס' חשבון : ‏‏ ‎885-37554/82‎</t>
        </is>
      </c>
    </row>
    <row r="3">
      <c r="A3" s="242" t="inlineStr">
        <is>
          <t>תאריך שמירה/הדפסה: 11/3/2026</t>
        </is>
      </c>
    </row>
    <row r="4">
      <c r="A4" s="243" t="n"/>
    </row>
    <row r="5">
      <c r="A5" s="242" t="inlineStr">
        <is>
          <t>היתרה</t>
        </is>
      </c>
      <c r="C5" s="242" t="inlineStr">
        <is>
          <t>מסגרת האשראי</t>
        </is>
      </c>
      <c r="E5" s="242" t="inlineStr">
        <is>
          <t>נכון לתאריך</t>
        </is>
      </c>
      <c r="G5" s="243" t="n"/>
      <c r="H5" s="243" t="n"/>
      <c r="I5" s="243" t="n"/>
    </row>
    <row r="6">
      <c r="A6" s="243" t="n"/>
      <c r="C6" s="243" t="n"/>
      <c r="E6" s="243" t="n"/>
      <c r="G6" s="243" t="n"/>
      <c r="H6" s="243" t="n"/>
      <c r="I6" s="243" t="n"/>
    </row>
    <row r="7">
      <c r="A7" s="243" t="inlineStr">
        <is>
          <t>₪ 23,564.48</t>
        </is>
      </c>
      <c r="C7" s="243" t="inlineStr">
        <is>
          <t>₪ 0.00</t>
        </is>
      </c>
      <c r="E7" s="243" t="inlineStr">
        <is>
          <t>11.03.26</t>
        </is>
      </c>
      <c r="G7" s="243" t="n"/>
      <c r="H7" s="243" t="n"/>
      <c r="I7" s="243" t="n"/>
    </row>
    <row r="8">
      <c r="A8" s="243" t="inlineStr">
        <is>
          <t>* כולל תנועות היום</t>
        </is>
      </c>
      <c r="C8" s="243" t="n"/>
      <c r="E8" s="243" t="n"/>
      <c r="G8" s="243" t="n"/>
      <c r="H8" s="243" t="n"/>
      <c r="I8" s="243" t="n"/>
    </row>
    <row r="9">
      <c r="A9" s="243" t="n"/>
    </row>
    <row r="10">
      <c r="A10" s="243" t="n"/>
    </row>
    <row r="11">
      <c r="A11" s="243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42" t="inlineStr">
        <is>
          <t>תנועות בחשבון</t>
        </is>
      </c>
    </row>
    <row r="13">
      <c r="A13" s="242" t="inlineStr">
        <is>
          <t>תאריך</t>
        </is>
      </c>
      <c r="B13" s="242" t="inlineStr">
        <is>
          <t>תאריך ערך</t>
        </is>
      </c>
      <c r="C13" s="242" t="inlineStr">
        <is>
          <t>תיאור</t>
        </is>
      </c>
      <c r="D13" s="242" t="inlineStr">
        <is>
          <t>אסמכתא</t>
        </is>
      </c>
      <c r="E13" s="242" t="inlineStr">
        <is>
          <t>בחובה</t>
        </is>
      </c>
      <c r="F13" s="242" t="inlineStr">
        <is>
          <t>בזכות</t>
        </is>
      </c>
      <c r="G13" s="242" t="inlineStr">
        <is>
          <t>היתרה בש"ח</t>
        </is>
      </c>
      <c r="H13" s="242" t="inlineStr">
        <is>
          <t>תאור מורחב</t>
        </is>
      </c>
      <c r="I13" s="242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55" workbookViewId="0">
      <selection activeCell="A51" sqref="A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77" t="n">
        <v>10266</v>
      </c>
      <c r="C2" s="277" t="n"/>
      <c r="D2" s="277" t="n"/>
      <c r="E2" s="277" t="n"/>
      <c r="F2" s="277" t="n"/>
      <c r="G2" s="277" t="n"/>
      <c r="H2" s="277" t="n"/>
      <c r="I2" s="277" t="n"/>
      <c r="J2" s="277" t="n"/>
      <c r="K2" s="277" t="n"/>
      <c r="L2" s="277" t="n"/>
      <c r="M2" s="277" t="n"/>
    </row>
    <row r="3">
      <c r="A3" t="inlineStr">
        <is>
          <t>אינטרקום - אבני שפה</t>
        </is>
      </c>
      <c r="B3" s="277" t="n">
        <v>500</v>
      </c>
      <c r="C3" s="277" t="n"/>
      <c r="D3" s="277" t="n"/>
      <c r="E3" s="277" t="n"/>
      <c r="F3" s="277" t="n"/>
      <c r="G3" s="277" t="n"/>
      <c r="H3" s="277" t="n"/>
      <c r="I3" s="277" t="n"/>
      <c r="J3" s="277" t="n"/>
      <c r="K3" s="277" t="n"/>
      <c r="L3" s="277" t="n"/>
      <c r="M3" s="277" t="n"/>
      <c r="P3" s="32" t="n"/>
      <c r="Q3" s="32" t="n"/>
      <c r="R3" s="33" t="n"/>
    </row>
    <row r="4">
      <c r="A4" t="inlineStr">
        <is>
          <t>אינטרקום</t>
        </is>
      </c>
      <c r="B4" s="277" t="n"/>
      <c r="C4" s="277" t="n">
        <v>14350</v>
      </c>
      <c r="D4" s="277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</row>
    <row r="5">
      <c r="A5" t="inlineStr">
        <is>
          <t>אבני שפה כניסה קדמית</t>
        </is>
      </c>
      <c r="B5" s="277" t="n"/>
      <c r="C5" s="277" t="n">
        <v>700</v>
      </c>
      <c r="D5" s="277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</row>
    <row r="6">
      <c r="B6" s="277" t="n"/>
      <c r="C6" s="277" t="n"/>
      <c r="D6" s="277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</row>
    <row r="7">
      <c r="B7" s="277" t="n"/>
      <c r="C7" s="277" t="n"/>
      <c r="D7" s="277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</row>
    <row r="8">
      <c r="B8" s="277" t="n"/>
      <c r="C8" s="277" t="n"/>
      <c r="D8" s="277" t="n"/>
      <c r="E8" s="277" t="n"/>
      <c r="F8" s="277" t="n"/>
      <c r="G8" s="277" t="n"/>
      <c r="H8" s="277" t="n"/>
      <c r="I8" s="277" t="n"/>
      <c r="J8" s="277" t="n"/>
      <c r="K8" s="277" t="n"/>
      <c r="L8" s="277" t="n"/>
      <c r="M8" s="277" t="n"/>
    </row>
    <row r="9">
      <c r="B9" s="277" t="n"/>
      <c r="C9" s="277" t="n"/>
      <c r="D9" s="277" t="n"/>
      <c r="E9" s="277" t="n"/>
      <c r="F9" s="277" t="n"/>
      <c r="G9" s="277" t="n"/>
      <c r="H9" s="277" t="n"/>
      <c r="I9" s="277" t="n"/>
      <c r="J9" s="277" t="n"/>
      <c r="K9" s="277" t="n"/>
      <c r="L9" s="277" t="n"/>
      <c r="M9" s="277" t="n"/>
    </row>
    <row r="10"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</row>
    <row r="11">
      <c r="B11" s="277" t="n"/>
      <c r="C11" s="277" t="n"/>
      <c r="D11" s="277" t="n"/>
      <c r="E11" s="277" t="n"/>
      <c r="F11" s="277" t="n"/>
      <c r="G11" s="277" t="n"/>
      <c r="H11" s="277" t="n"/>
      <c r="I11" s="277" t="n"/>
      <c r="J11" s="277" t="n"/>
      <c r="K11" s="277" t="n"/>
      <c r="L11" s="277" t="n"/>
      <c r="M11" s="277" t="n"/>
    </row>
    <row r="12">
      <c r="B12" s="277" t="n"/>
      <c r="C12" s="277" t="n"/>
      <c r="D12" s="277" t="n"/>
      <c r="E12" s="277" t="n"/>
      <c r="F12" s="277" t="n"/>
      <c r="G12" s="277" t="n"/>
      <c r="H12" s="277" t="n"/>
      <c r="I12" s="277" t="n"/>
      <c r="J12" s="277" t="n"/>
      <c r="K12" s="277" t="n"/>
      <c r="L12" s="277" t="n"/>
      <c r="M12" s="277" t="n"/>
    </row>
    <row r="13">
      <c r="B13" s="277" t="n"/>
      <c r="C13" s="277" t="n"/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</row>
    <row r="14">
      <c r="B14" s="277" t="n"/>
      <c r="C14" s="277" t="n"/>
      <c r="D14" s="277" t="n"/>
      <c r="E14" s="277" t="n"/>
      <c r="F14" s="277" t="n"/>
      <c r="G14" s="277" t="n"/>
      <c r="H14" s="277" t="n"/>
      <c r="I14" s="277" t="n"/>
      <c r="J14" s="277" t="n"/>
      <c r="K14" s="277" t="n"/>
      <c r="L14" s="277" t="n"/>
      <c r="M14" s="277" t="n"/>
    </row>
    <row r="15">
      <c r="B15" s="277" t="n"/>
      <c r="C15" s="277" t="n"/>
      <c r="D15" s="277" t="n"/>
      <c r="E15" s="277" t="n"/>
      <c r="F15" s="277" t="n"/>
      <c r="G15" s="277" t="n"/>
      <c r="H15" s="277" t="n"/>
      <c r="I15" s="277" t="n"/>
      <c r="J15" s="277" t="n"/>
      <c r="K15" s="277" t="n"/>
      <c r="L15" s="277" t="n"/>
      <c r="M15" s="277" t="n"/>
    </row>
    <row r="16">
      <c r="B16" s="277" t="n"/>
      <c r="C16" s="277" t="n"/>
      <c r="D16" s="277" t="n"/>
      <c r="E16" s="277" t="n"/>
      <c r="F16" s="277" t="n"/>
      <c r="G16" s="277" t="n"/>
      <c r="H16" s="277" t="n"/>
      <c r="I16" s="277" t="n"/>
      <c r="J16" s="277" t="n"/>
      <c r="K16" s="277" t="n"/>
      <c r="L16" s="277" t="n"/>
      <c r="M16" s="277" t="n"/>
    </row>
    <row r="17">
      <c r="B17" s="277" t="n"/>
      <c r="C17" s="277" t="n"/>
      <c r="D17" s="277" t="n"/>
      <c r="E17" s="277" t="n"/>
      <c r="F17" s="277" t="n"/>
      <c r="G17" s="277" t="n"/>
      <c r="H17" s="277" t="n"/>
      <c r="I17" s="277" t="n"/>
      <c r="J17" s="277" t="n"/>
      <c r="K17" s="277" t="n"/>
      <c r="L17" s="277" t="n"/>
      <c r="M17" s="277" t="n"/>
    </row>
    <row r="18">
      <c r="B18" s="277" t="n"/>
      <c r="C18" s="277" t="n"/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</row>
    <row r="19">
      <c r="B19" s="277" t="n"/>
      <c r="C19" s="277" t="n"/>
      <c r="D19" s="277" t="n"/>
      <c r="E19" s="277" t="n"/>
      <c r="F19" s="277" t="n"/>
      <c r="G19" s="277" t="n"/>
      <c r="H19" s="277" t="n"/>
      <c r="I19" s="277" t="n"/>
      <c r="J19" s="277" t="n"/>
      <c r="K19" s="277" t="n"/>
      <c r="L19" s="277" t="n"/>
      <c r="M19" s="277" t="n"/>
    </row>
    <row r="20"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</row>
    <row r="21"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</row>
    <row r="22">
      <c r="B22" s="277" t="n"/>
      <c r="C22" s="277" t="n"/>
      <c r="D22" s="277" t="n"/>
      <c r="E22" s="277" t="n"/>
      <c r="F22" s="277" t="n"/>
      <c r="G22" s="277" t="n"/>
      <c r="H22" s="277" t="n"/>
      <c r="I22" s="277" t="n"/>
      <c r="J22" s="277" t="n"/>
      <c r="K22" s="277" t="n"/>
      <c r="L22" s="277" t="n"/>
      <c r="M22" s="277" t="n"/>
    </row>
    <row r="23">
      <c r="B23" s="277" t="n"/>
      <c r="C23" s="277" t="n"/>
      <c r="D23" s="277" t="n"/>
      <c r="E23" s="277" t="n"/>
      <c r="F23" s="277" t="n"/>
      <c r="G23" s="277" t="n"/>
      <c r="H23" s="277" t="n"/>
      <c r="I23" s="277" t="n"/>
      <c r="J23" s="277" t="n"/>
      <c r="K23" s="277" t="n"/>
      <c r="L23" s="277" t="n"/>
      <c r="M23" s="277" t="n"/>
    </row>
    <row r="24">
      <c r="B24" s="277" t="n"/>
      <c r="C24" s="277" t="n"/>
      <c r="D24" s="277" t="n"/>
      <c r="E24" s="277" t="n"/>
      <c r="F24" s="277" t="n"/>
      <c r="G24" s="277" t="n"/>
      <c r="H24" s="277" t="n"/>
      <c r="I24" s="277" t="n"/>
      <c r="J24" s="277" t="n"/>
      <c r="K24" s="277" t="n"/>
      <c r="L24" s="277" t="n"/>
      <c r="M24" s="277" t="n"/>
    </row>
    <row r="25">
      <c r="B25" s="277" t="n"/>
      <c r="C25" s="277" t="n"/>
      <c r="D25" s="277" t="n"/>
      <c r="E25" s="277" t="n"/>
      <c r="F25" s="277" t="n"/>
      <c r="G25" s="277" t="n"/>
      <c r="H25" s="277" t="n"/>
      <c r="I25" s="277" t="n"/>
      <c r="J25" s="277" t="n"/>
      <c r="K25" s="277" t="n"/>
      <c r="L25" s="277" t="n"/>
      <c r="M25" s="277" t="n"/>
    </row>
    <row r="26">
      <c r="B26" s="277" t="n"/>
      <c r="C26" s="277" t="n"/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</row>
    <row r="27">
      <c r="B27" s="277" t="n"/>
      <c r="C27" s="277" t="n"/>
      <c r="D27" s="277" t="n"/>
      <c r="E27" s="277" t="n"/>
      <c r="F27" s="277" t="n"/>
      <c r="G27" s="277" t="n"/>
      <c r="H27" s="277" t="n"/>
      <c r="I27" s="277" t="n"/>
      <c r="J27" s="277" t="n"/>
      <c r="K27" s="277" t="n"/>
      <c r="L27" s="277" t="n"/>
      <c r="M27" s="277" t="n"/>
    </row>
    <row r="28">
      <c r="B28" s="277" t="n"/>
      <c r="C28" s="277" t="n"/>
      <c r="D28" s="277" t="n"/>
      <c r="E28" s="277" t="n"/>
      <c r="F28" s="277" t="n"/>
      <c r="G28" s="277" t="n"/>
      <c r="H28" s="277" t="n"/>
      <c r="I28" s="277" t="n"/>
      <c r="J28" s="277" t="n"/>
      <c r="K28" s="277" t="n"/>
      <c r="L28" s="277" t="n"/>
      <c r="M28" s="277" t="n"/>
    </row>
    <row r="29">
      <c r="B29" s="277" t="n"/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</row>
    <row r="30">
      <c r="B30" s="277" t="n"/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</row>
    <row r="31">
      <c r="B31" s="277" t="n"/>
      <c r="C31" s="277" t="n"/>
      <c r="D31" s="277" t="n"/>
      <c r="E31" s="277" t="n"/>
      <c r="F31" s="277" t="n"/>
      <c r="G31" s="277" t="n"/>
      <c r="H31" s="277" t="n"/>
      <c r="I31" s="277" t="n"/>
      <c r="J31" s="277" t="n"/>
      <c r="K31" s="277" t="n"/>
      <c r="L31" s="277" t="n"/>
      <c r="M31" s="277" t="n"/>
    </row>
    <row r="32">
      <c r="B32" s="277" t="n"/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</row>
    <row r="33">
      <c r="B33" s="277" t="n"/>
      <c r="C33" s="277" t="n"/>
      <c r="D33" s="277" t="n"/>
      <c r="E33" s="277" t="n"/>
      <c r="F33" s="277" t="n"/>
      <c r="G33" s="277" t="n"/>
      <c r="H33" s="277" t="n"/>
      <c r="I33" s="277" t="n"/>
      <c r="J33" s="277" t="n"/>
      <c r="K33" s="277" t="n"/>
      <c r="L33" s="277" t="n"/>
      <c r="M33" s="277" t="n"/>
    </row>
    <row r="34">
      <c r="B34" s="277" t="n"/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</row>
    <row r="35">
      <c r="B35" s="277" t="n"/>
      <c r="C35" s="277" t="n"/>
      <c r="D35" s="277" t="n"/>
      <c r="E35" s="277" t="n"/>
      <c r="F35" s="277" t="n"/>
      <c r="G35" s="277" t="n"/>
      <c r="H35" s="277" t="n"/>
      <c r="I35" s="277" t="n"/>
      <c r="J35" s="277" t="n"/>
      <c r="K35" s="277" t="n"/>
      <c r="L35" s="277" t="n"/>
      <c r="M35" s="277" t="n"/>
    </row>
    <row r="36"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</row>
    <row r="37">
      <c r="B37" s="277" t="n"/>
      <c r="C37" s="277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</row>
    <row r="38">
      <c r="B38" s="277" t="n"/>
      <c r="C38" s="277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</row>
    <row r="39">
      <c r="B39" s="277" t="n"/>
      <c r="C39" s="277" t="n"/>
      <c r="D39" s="277" t="n"/>
      <c r="E39" s="277" t="n"/>
      <c r="F39" s="277" t="n"/>
      <c r="G39" s="277" t="n"/>
      <c r="H39" s="277" t="n"/>
      <c r="I39" s="277" t="n"/>
      <c r="J39" s="277" t="n"/>
      <c r="K39" s="277" t="n"/>
      <c r="L39" s="277" t="n"/>
      <c r="M39" s="277" t="n"/>
    </row>
    <row r="40">
      <c r="B40" s="277" t="n"/>
      <c r="C40" s="277" t="n"/>
      <c r="D40" s="277" t="n"/>
      <c r="E40" s="277" t="n"/>
      <c r="F40" s="277" t="n"/>
      <c r="G40" s="277" t="n"/>
      <c r="H40" s="277" t="n"/>
      <c r="I40" s="277" t="n"/>
      <c r="J40" s="277" t="n"/>
      <c r="K40" s="277" t="n"/>
      <c r="L40" s="277" t="n"/>
      <c r="M40" s="277" t="n"/>
    </row>
    <row r="41">
      <c r="B41" s="277" t="n"/>
      <c r="C41" s="277" t="n"/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</row>
    <row r="42">
      <c r="B42" s="277" t="n"/>
      <c r="C42" s="277" t="n"/>
      <c r="D42" s="277" t="n"/>
      <c r="E42" s="277" t="n"/>
      <c r="F42" s="277" t="n"/>
      <c r="G42" s="277" t="n"/>
      <c r="H42" s="277" t="n"/>
      <c r="I42" s="277" t="n"/>
      <c r="J42" s="277" t="n"/>
      <c r="K42" s="277" t="n"/>
      <c r="L42" s="277" t="n"/>
      <c r="M42" s="277" t="n"/>
      <c r="N42" s="32" t="inlineStr">
        <is>
          <t>סה"כ שנתי</t>
        </is>
      </c>
    </row>
    <row r="43">
      <c r="A43" t="inlineStr">
        <is>
          <t>סה"כ</t>
        </is>
      </c>
      <c r="B43" s="277">
        <f>SUM(B2:B13)</f>
        <v/>
      </c>
      <c r="C43" s="277">
        <f>SUM(C2:C13)</f>
        <v/>
      </c>
      <c r="D43" s="277">
        <f>SUM(D2:D14)</f>
        <v/>
      </c>
      <c r="E43" s="277">
        <f>SUM(E4:E18)</f>
        <v/>
      </c>
      <c r="F43" s="277">
        <f>SUM(F4:F22)</f>
        <v/>
      </c>
      <c r="G43" s="277">
        <f>SUM(G4:G26)</f>
        <v/>
      </c>
      <c r="H43" s="277">
        <f>SUM(H4:H33)</f>
        <v/>
      </c>
      <c r="I43" s="277">
        <f>SUM(I4:I33)</f>
        <v/>
      </c>
      <c r="J43" s="277">
        <f>SUM(J4:J38)</f>
        <v/>
      </c>
      <c r="K43" s="277">
        <f>SUM(K4:K40)</f>
        <v/>
      </c>
      <c r="L43" s="277">
        <f>SUM(L36:L42)</f>
        <v/>
      </c>
      <c r="M43" s="277" t="n"/>
      <c r="N43" s="27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77" t="n">
        <v>30000</v>
      </c>
      <c r="C48" s="277" t="n">
        <v>29833</v>
      </c>
      <c r="D48" s="163">
        <f>'גביה 2026'!Q62</f>
        <v/>
      </c>
    </row>
    <row r="49">
      <c r="A49" t="inlineStr">
        <is>
          <t>שימוש 2024</t>
        </is>
      </c>
      <c r="B49" s="277" t="n">
        <v>20057</v>
      </c>
      <c r="C49" s="277" t="n">
        <v>33893</v>
      </c>
      <c r="D49" s="163">
        <f>N43</f>
        <v/>
      </c>
    </row>
    <row r="50">
      <c r="B50" s="277" t="n"/>
    </row>
    <row r="51">
      <c r="B51" s="277" t="n"/>
    </row>
    <row r="57">
      <c r="A57" s="32" t="n"/>
      <c r="B57" s="33" t="n"/>
    </row>
    <row r="58">
      <c r="A58" s="32" t="inlineStr">
        <is>
          <t>סה"כ גביה</t>
        </is>
      </c>
      <c r="B58" s="279">
        <f>B48+C48+D48</f>
        <v/>
      </c>
    </row>
    <row r="59">
      <c r="A59" s="32" t="inlineStr">
        <is>
          <t>סה"כ שימוש</t>
        </is>
      </c>
      <c r="B59" s="279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80" t="inlineStr">
        <is>
          <t xml:space="preserve"> חוב שנת 2020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2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48" t="n">
        <v>13</v>
      </c>
      <c r="B14" s="250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83" t="n"/>
      <c r="B15" s="284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85" t="n"/>
      <c r="B16" s="286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80" t="inlineStr">
        <is>
          <t>חוב שנת 2021</t>
        </is>
      </c>
      <c r="B18" s="281" t="n"/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2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48" t="n">
        <v>13</v>
      </c>
      <c r="B20" s="250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83" t="n"/>
      <c r="B21" s="284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85" t="n"/>
      <c r="B22" s="286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80" t="inlineStr">
        <is>
          <t xml:space="preserve"> חוב שנת 2022</t>
        </is>
      </c>
      <c r="B24" s="281" t="n"/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2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48" t="n">
        <v>13</v>
      </c>
      <c r="B26" s="250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83" t="n"/>
      <c r="B27" s="284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85" t="n"/>
      <c r="B28" s="286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80" t="inlineStr">
        <is>
          <t xml:space="preserve">חוב שנת 2023 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1" t="n"/>
      <c r="K30" s="281" t="n"/>
      <c r="L30" s="281" t="n"/>
      <c r="M30" s="281" t="n"/>
      <c r="N30" s="282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48" t="n">
        <v>13</v>
      </c>
      <c r="B32" s="250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83" t="n"/>
      <c r="B33" s="284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85" t="n"/>
      <c r="B34" s="286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80" t="inlineStr">
        <is>
          <t xml:space="preserve">שנת 2024 </t>
        </is>
      </c>
      <c r="B36" s="281" t="n"/>
      <c r="C36" s="281" t="n"/>
      <c r="D36" s="281" t="n"/>
      <c r="E36" s="281" t="n"/>
      <c r="F36" s="281" t="n"/>
      <c r="G36" s="281" t="n"/>
      <c r="H36" s="281" t="n"/>
      <c r="I36" s="281" t="n"/>
      <c r="J36" s="281" t="n"/>
      <c r="K36" s="281" t="n"/>
      <c r="L36" s="281" t="n"/>
      <c r="M36" s="281" t="n"/>
      <c r="N36" s="282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48" t="n">
        <v>13</v>
      </c>
      <c r="B38" s="250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83" t="n"/>
      <c r="B39" s="284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85" t="n"/>
      <c r="B40" s="286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87" t="inlineStr">
        <is>
          <t>סיכום</t>
        </is>
      </c>
      <c r="D42" s="281" t="n"/>
      <c r="E42" s="281" t="n"/>
      <c r="F42" s="281" t="n"/>
      <c r="G42" s="281" t="n"/>
      <c r="H42" s="282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42" t="inlineStr">
        <is>
          <t>תאריך שמירה/הדפסה: 15/2/2026</t>
        </is>
      </c>
    </row>
    <row r="67">
      <c r="A67" s="243" t="inlineStr">
        <is>
          <t xml:space="preserve"> </t>
        </is>
      </c>
    </row>
    <row r="68">
      <c r="A68" s="242" t="inlineStr">
        <is>
          <t>היתרה</t>
        </is>
      </c>
      <c r="C68" s="242" t="inlineStr">
        <is>
          <t>מסגרת האשראי</t>
        </is>
      </c>
      <c r="E68" s="242" t="inlineStr">
        <is>
          <t>נכון לתאריך</t>
        </is>
      </c>
      <c r="G68" s="243" t="inlineStr">
        <is>
          <t xml:space="preserve"> </t>
        </is>
      </c>
      <c r="H68" s="243" t="inlineStr">
        <is>
          <t xml:space="preserve"> </t>
        </is>
      </c>
      <c r="I68" s="243" t="inlineStr">
        <is>
          <t xml:space="preserve"> </t>
        </is>
      </c>
    </row>
    <row r="69">
      <c r="A69" s="243" t="inlineStr">
        <is>
          <t xml:space="preserve"> </t>
        </is>
      </c>
      <c r="C69" s="243" t="inlineStr">
        <is>
          <t xml:space="preserve"> </t>
        </is>
      </c>
      <c r="E69" s="243" t="inlineStr">
        <is>
          <t xml:space="preserve"> </t>
        </is>
      </c>
      <c r="G69" s="243" t="inlineStr">
        <is>
          <t xml:space="preserve"> </t>
        </is>
      </c>
      <c r="H69" s="243" t="inlineStr">
        <is>
          <t xml:space="preserve"> </t>
        </is>
      </c>
      <c r="I69" s="243" t="inlineStr">
        <is>
          <t xml:space="preserve"> </t>
        </is>
      </c>
    </row>
    <row r="70">
      <c r="A70" s="243" t="inlineStr">
        <is>
          <t>₪ 31,538.78</t>
        </is>
      </c>
      <c r="C70" s="243" t="inlineStr">
        <is>
          <t>₪ 0.00</t>
        </is>
      </c>
      <c r="E70" s="243" t="inlineStr">
        <is>
          <t>15.02.26</t>
        </is>
      </c>
      <c r="G70" s="243" t="inlineStr">
        <is>
          <t xml:space="preserve"> </t>
        </is>
      </c>
      <c r="H70" s="243" t="inlineStr">
        <is>
          <t xml:space="preserve"> </t>
        </is>
      </c>
      <c r="I70" s="243" t="inlineStr">
        <is>
          <t xml:space="preserve"> </t>
        </is>
      </c>
    </row>
    <row r="71">
      <c r="A71" s="243" t="inlineStr">
        <is>
          <t>* כולל תנועות היום</t>
        </is>
      </c>
      <c r="C71" s="243" t="inlineStr">
        <is>
          <t xml:space="preserve"> </t>
        </is>
      </c>
      <c r="E71" s="243" t="inlineStr">
        <is>
          <t xml:space="preserve"> </t>
        </is>
      </c>
      <c r="G71" s="243" t="inlineStr">
        <is>
          <t xml:space="preserve"> </t>
        </is>
      </c>
      <c r="H71" s="243" t="inlineStr">
        <is>
          <t xml:space="preserve"> </t>
        </is>
      </c>
      <c r="I71" s="243" t="inlineStr">
        <is>
          <t xml:space="preserve"> </t>
        </is>
      </c>
    </row>
    <row r="72">
      <c r="A72" s="243" t="inlineStr">
        <is>
          <t xml:space="preserve"> </t>
        </is>
      </c>
    </row>
    <row r="73">
      <c r="A73" s="243" t="inlineStr">
        <is>
          <t xml:space="preserve"> </t>
        </is>
      </c>
    </row>
    <row r="74">
      <c r="A74" s="243" t="inlineStr">
        <is>
          <t xml:space="preserve"> </t>
        </is>
      </c>
    </row>
    <row r="75">
      <c r="A75" s="242" t="inlineStr">
        <is>
          <t>תנועות בחשבון</t>
        </is>
      </c>
    </row>
    <row r="76">
      <c r="A76" s="242" t="inlineStr">
        <is>
          <t>תאריך</t>
        </is>
      </c>
      <c r="B76" s="242" t="inlineStr">
        <is>
          <t>תאריך ערך</t>
        </is>
      </c>
      <c r="C76" s="242" t="inlineStr">
        <is>
          <t>תיאור</t>
        </is>
      </c>
      <c r="D76" s="242" t="inlineStr">
        <is>
          <t>אסמכתא</t>
        </is>
      </c>
      <c r="E76" s="242" t="inlineStr">
        <is>
          <t>בחובה</t>
        </is>
      </c>
      <c r="F76" s="242" t="inlineStr">
        <is>
          <t>בזכות</t>
        </is>
      </c>
      <c r="G76" s="242" t="inlineStr">
        <is>
          <t>תאור מורחב</t>
        </is>
      </c>
      <c r="H76" s="242" t="inlineStr">
        <is>
          <t xml:space="preserve">  הערה</t>
        </is>
      </c>
      <c r="I76" s="243" t="inlineStr">
        <is>
          <t xml:space="preserve"> </t>
        </is>
      </c>
    </row>
    <row r="77">
      <c r="A77" s="243" t="inlineStr">
        <is>
          <t>19/02/2024</t>
        </is>
      </c>
      <c r="B77" s="243" t="inlineStr">
        <is>
          <t>19/02/2024</t>
        </is>
      </c>
      <c r="C77" s="242" t="inlineStr">
        <is>
          <t>בנק מזרחי</t>
        </is>
      </c>
      <c r="D77" s="243" t="n">
        <v>99020</v>
      </c>
      <c r="E77" s="243" t="n">
        <v>0</v>
      </c>
      <c r="F77" s="243" t="n">
        <v>500</v>
      </c>
      <c r="G77" s="242" t="inlineStr">
        <is>
          <t>העברה מאת: בכר שי 20-523-000260701 דירה 13</t>
        </is>
      </c>
      <c r="H77" s="243" t="inlineStr">
        <is>
          <t xml:space="preserve"> </t>
        </is>
      </c>
      <c r="I77" s="243" t="inlineStr">
        <is>
          <t xml:space="preserve"> </t>
        </is>
      </c>
    </row>
    <row r="78">
      <c r="A78" s="187" t="n">
        <v>45421</v>
      </c>
      <c r="B78" s="187" t="n">
        <v>45421</v>
      </c>
      <c r="C78" s="242" t="inlineStr">
        <is>
          <t>בנק מזרחי</t>
        </is>
      </c>
      <c r="D78" s="243" t="n">
        <v>99020</v>
      </c>
      <c r="E78" s="243" t="n">
        <v>0</v>
      </c>
      <c r="F78" s="243" t="n">
        <v>670</v>
      </c>
      <c r="G78" s="242" t="inlineStr">
        <is>
          <t>העברה מאת: בכר שי 20-523-000260701 תשלום ראשון</t>
        </is>
      </c>
      <c r="H78" s="243" t="inlineStr">
        <is>
          <t xml:space="preserve"> </t>
        </is>
      </c>
      <c r="I78" s="243" t="inlineStr">
        <is>
          <t xml:space="preserve"> </t>
        </is>
      </c>
    </row>
    <row r="79">
      <c r="A79" s="243" t="inlineStr">
        <is>
          <t>13/10/2024</t>
        </is>
      </c>
      <c r="B79" s="243" t="inlineStr">
        <is>
          <t>13/10/2024</t>
        </is>
      </c>
      <c r="C79" s="242" t="inlineStr">
        <is>
          <t>בנק מזרחי</t>
        </is>
      </c>
      <c r="D79" s="243" t="n">
        <v>99020</v>
      </c>
      <c r="E79" s="243" t="n">
        <v>0</v>
      </c>
      <c r="F79" s="243" t="n">
        <v>670</v>
      </c>
      <c r="G79" s="242" t="inlineStr">
        <is>
          <t>העברה מאת: בכר שי 20-523-000260701</t>
        </is>
      </c>
      <c r="H79" s="243" t="inlineStr">
        <is>
          <t xml:space="preserve"> </t>
        </is>
      </c>
      <c r="I79" s="243" t="inlineStr">
        <is>
          <t xml:space="preserve"> </t>
        </is>
      </c>
    </row>
    <row r="80">
      <c r="A80" s="243" t="inlineStr">
        <is>
          <t>13/10/2024</t>
        </is>
      </c>
      <c r="B80" s="243" t="inlineStr">
        <is>
          <t>13/10/2024</t>
        </is>
      </c>
      <c r="C80" s="242" t="inlineStr">
        <is>
          <t>בנק מזרחי</t>
        </is>
      </c>
      <c r="D80" s="243" t="n">
        <v>99020</v>
      </c>
      <c r="E80" s="243" t="n">
        <v>0</v>
      </c>
      <c r="F80" s="243" t="n">
        <v>670</v>
      </c>
      <c r="G80" s="242" t="inlineStr">
        <is>
          <t>העברה מאת: בכר שי 20-523-000260701</t>
        </is>
      </c>
      <c r="H80" s="243" t="inlineStr">
        <is>
          <t xml:space="preserve"> </t>
        </is>
      </c>
      <c r="I80" s="243" t="inlineStr">
        <is>
          <t xml:space="preserve"> </t>
        </is>
      </c>
    </row>
    <row r="81">
      <c r="A81" s="243" t="inlineStr">
        <is>
          <t>22/11/2024</t>
        </is>
      </c>
      <c r="B81" s="243" t="inlineStr">
        <is>
          <t>22/11/2024</t>
        </is>
      </c>
      <c r="C81" s="242" t="inlineStr">
        <is>
          <t>בנק מזרחי</t>
        </is>
      </c>
      <c r="D81" s="243" t="n">
        <v>99020</v>
      </c>
      <c r="E81" s="243" t="n">
        <v>0</v>
      </c>
      <c r="F81" s="243" t="n">
        <v>670</v>
      </c>
      <c r="G81" s="242" t="inlineStr">
        <is>
          <t>העברה מאת: בכר שי 20-523-000260701 תשלום</t>
        </is>
      </c>
      <c r="H81" s="243" t="inlineStr">
        <is>
          <t xml:space="preserve"> </t>
        </is>
      </c>
      <c r="I81" s="243" t="inlineStr">
        <is>
          <t xml:space="preserve"> </t>
        </is>
      </c>
    </row>
    <row r="82">
      <c r="A82" s="243" t="inlineStr">
        <is>
          <t>24/03/2025</t>
        </is>
      </c>
      <c r="B82" s="243" t="inlineStr">
        <is>
          <t>24/03/2025</t>
        </is>
      </c>
      <c r="C82" s="242" t="inlineStr">
        <is>
          <t>בנק מזרחי</t>
        </is>
      </c>
      <c r="D82" s="243" t="n">
        <v>99020</v>
      </c>
      <c r="E82" s="243" t="n">
        <v>0</v>
      </c>
      <c r="F82" s="243" t="n">
        <v>820</v>
      </c>
      <c r="G82" s="242" t="inlineStr">
        <is>
          <t>העברה מאת: בכר שי 20-523-000260701</t>
        </is>
      </c>
      <c r="H82" s="243" t="inlineStr">
        <is>
          <t xml:space="preserve"> </t>
        </is>
      </c>
      <c r="I82" s="243" t="inlineStr">
        <is>
          <t xml:space="preserve"> </t>
        </is>
      </c>
    </row>
    <row r="83">
      <c r="A83" s="243" t="inlineStr">
        <is>
          <t>21/07/2025</t>
        </is>
      </c>
      <c r="B83" s="243" t="inlineStr">
        <is>
          <t>21/07/2025</t>
        </is>
      </c>
      <c r="C83" s="242" t="inlineStr">
        <is>
          <t>בנק מזרחי</t>
        </is>
      </c>
      <c r="D83" s="243" t="n">
        <v>99020</v>
      </c>
      <c r="E83" s="243" t="n">
        <v>0</v>
      </c>
      <c r="F83" s="243" t="n">
        <v>883</v>
      </c>
      <c r="G83" s="242" t="inlineStr">
        <is>
          <t>העברה מאת: בכר שי 20-523-000260701</t>
        </is>
      </c>
      <c r="H83" s="243" t="inlineStr">
        <is>
          <t xml:space="preserve"> </t>
        </is>
      </c>
      <c r="I83" s="243" t="inlineStr">
        <is>
          <t xml:space="preserve"> </t>
        </is>
      </c>
    </row>
    <row r="84">
      <c r="A84" s="243" t="inlineStr">
        <is>
          <t>14/09/2025</t>
        </is>
      </c>
      <c r="B84" s="243" t="inlineStr">
        <is>
          <t>14/09/2025</t>
        </is>
      </c>
      <c r="C84" s="242" t="inlineStr">
        <is>
          <t>בנק מזרחי</t>
        </is>
      </c>
      <c r="D84" s="243" t="n">
        <v>99020</v>
      </c>
      <c r="E84" s="243" t="n">
        <v>0</v>
      </c>
      <c r="F84" s="243" t="n">
        <v>883</v>
      </c>
      <c r="G84" s="242" t="inlineStr">
        <is>
          <t>העברה מאת: בכר שי 20-523-000260701</t>
        </is>
      </c>
      <c r="H84" s="243" t="inlineStr">
        <is>
          <t xml:space="preserve"> </t>
        </is>
      </c>
      <c r="I84" s="243" t="inlineStr">
        <is>
          <t xml:space="preserve"> </t>
        </is>
      </c>
    </row>
    <row r="87">
      <c r="A87" s="242" t="inlineStr">
        <is>
          <t>בנק לאומי |</t>
        </is>
      </c>
    </row>
    <row r="88">
      <c r="A88" s="242" t="inlineStr">
        <is>
          <t>מס' חשבון : ‏‏ ‎885-37554/82‎</t>
        </is>
      </c>
    </row>
    <row r="89">
      <c r="A89" s="242" t="inlineStr">
        <is>
          <t>תאריך שמירה/הדפסה: 15/2/2026</t>
        </is>
      </c>
    </row>
    <row r="90">
      <c r="A90" s="243" t="n"/>
    </row>
    <row r="91">
      <c r="A91" s="242" t="inlineStr">
        <is>
          <t>היתרה</t>
        </is>
      </c>
      <c r="C91" s="242" t="inlineStr">
        <is>
          <t>מסגרת האשראי</t>
        </is>
      </c>
      <c r="E91" s="242" t="inlineStr">
        <is>
          <t>נכון לתאריך</t>
        </is>
      </c>
      <c r="G91" s="243" t="n"/>
      <c r="H91" s="243" t="n"/>
      <c r="I91" s="243" t="n"/>
    </row>
    <row r="92">
      <c r="A92" s="243" t="n"/>
      <c r="C92" s="243" t="n"/>
      <c r="E92" s="243" t="n"/>
      <c r="G92" s="243" t="n"/>
      <c r="H92" s="243" t="n"/>
      <c r="I92" s="243" t="n"/>
    </row>
    <row r="93">
      <c r="A93" s="243" t="inlineStr">
        <is>
          <t>₪ 31,538.78</t>
        </is>
      </c>
      <c r="C93" s="243" t="inlineStr">
        <is>
          <t>₪ 0.00</t>
        </is>
      </c>
      <c r="E93" s="243" t="inlineStr">
        <is>
          <t>15.02.26</t>
        </is>
      </c>
      <c r="G93" s="243" t="n"/>
      <c r="H93" s="243" t="n"/>
      <c r="I93" s="243" t="n"/>
    </row>
    <row r="94">
      <c r="A94" s="243" t="inlineStr">
        <is>
          <t>* כולל תנועות היום</t>
        </is>
      </c>
      <c r="C94" s="243" t="n"/>
      <c r="E94" s="243" t="n"/>
      <c r="G94" s="243" t="n"/>
      <c r="H94" s="243" t="n"/>
      <c r="I94" s="243" t="n"/>
    </row>
    <row r="95">
      <c r="A95" s="243" t="n"/>
    </row>
    <row r="96">
      <c r="A96" s="243" t="n"/>
    </row>
    <row r="97">
      <c r="A97" s="243" t="n"/>
    </row>
    <row r="98">
      <c r="A98" s="242" t="inlineStr">
        <is>
          <t>תנועות בחשבון</t>
        </is>
      </c>
    </row>
    <row r="99">
      <c r="A99" s="242" t="inlineStr">
        <is>
          <t>תאריך</t>
        </is>
      </c>
      <c r="B99" s="242" t="inlineStr">
        <is>
          <t>תאריך ערך</t>
        </is>
      </c>
      <c r="C99" s="242" t="inlineStr">
        <is>
          <t>תיאור</t>
        </is>
      </c>
      <c r="D99" s="242" t="inlineStr">
        <is>
          <t>אסמכתא</t>
        </is>
      </c>
      <c r="E99" s="242" t="inlineStr">
        <is>
          <t>בחובה</t>
        </is>
      </c>
      <c r="F99" s="242" t="inlineStr">
        <is>
          <t>בזכות</t>
        </is>
      </c>
      <c r="G99" s="242" t="inlineStr">
        <is>
          <t>תאור מורחב</t>
        </is>
      </c>
      <c r="H99" s="242" t="inlineStr">
        <is>
          <t xml:space="preserve">  הערה</t>
        </is>
      </c>
      <c r="I99" s="243" t="n"/>
    </row>
    <row r="100">
      <c r="A100" s="187" t="n">
        <v>45242</v>
      </c>
      <c r="B100" s="187" t="n">
        <v>45242</v>
      </c>
      <c r="C100" s="242" t="inlineStr">
        <is>
          <t>מבנק יהב ס.-י</t>
        </is>
      </c>
      <c r="D100" s="243" t="n">
        <v>99004</v>
      </c>
      <c r="E100" s="243" t="n">
        <v>0</v>
      </c>
      <c r="F100" s="243" t="n">
        <v>320</v>
      </c>
      <c r="G100" s="242" t="inlineStr">
        <is>
          <t>העברה מאת: בכר שי נפתלי 04-233-000113835 וועד בית</t>
        </is>
      </c>
      <c r="H100" s="243" t="n"/>
      <c r="I100" s="243" t="n"/>
    </row>
    <row r="101">
      <c r="A101" s="187" t="n">
        <v>45566</v>
      </c>
      <c r="B101" s="187" t="n">
        <v>45566</v>
      </c>
      <c r="C101" s="242" t="inlineStr">
        <is>
          <t>מבנק יהב ס.-י</t>
        </is>
      </c>
      <c r="D101" s="243" t="n">
        <v>99004</v>
      </c>
      <c r="E101" s="243" t="n">
        <v>0</v>
      </c>
      <c r="F101" s="243" t="n">
        <v>320</v>
      </c>
      <c r="G101" s="242" t="inlineStr">
        <is>
          <t>העברה מאת: בכר שי נפתלי 04-233-000113835 וועד בית</t>
        </is>
      </c>
      <c r="H101" s="243" t="n"/>
      <c r="I101" s="243" t="n"/>
    </row>
    <row r="102">
      <c r="A102" s="243" t="inlineStr">
        <is>
          <t>15/02/2024</t>
        </is>
      </c>
      <c r="B102" s="243" t="inlineStr">
        <is>
          <t>15/02/2024</t>
        </is>
      </c>
      <c r="C102" s="242" t="inlineStr">
        <is>
          <t>בנק מזרחי</t>
        </is>
      </c>
      <c r="D102" s="243" t="n">
        <v>99020</v>
      </c>
      <c r="E102" s="243" t="n">
        <v>0</v>
      </c>
      <c r="F102" s="243" t="n">
        <v>320</v>
      </c>
      <c r="G102" s="242" t="inlineStr">
        <is>
          <t>העברה מאת: בכר שי 20-523-000260701</t>
        </is>
      </c>
      <c r="H102" s="243" t="n"/>
      <c r="I102" s="243" t="n"/>
    </row>
    <row r="103">
      <c r="A103" s="243" t="inlineStr">
        <is>
          <t>19/02/2024</t>
        </is>
      </c>
      <c r="B103" s="243" t="inlineStr">
        <is>
          <t>19/02/2024</t>
        </is>
      </c>
      <c r="C103" s="242" t="inlineStr">
        <is>
          <t>בנק מזרחי</t>
        </is>
      </c>
      <c r="D103" s="243" t="n">
        <v>99020</v>
      </c>
      <c r="E103" s="243" t="n">
        <v>0</v>
      </c>
      <c r="F103" s="243" t="n">
        <v>500</v>
      </c>
      <c r="G103" s="242" t="inlineStr">
        <is>
          <t>העברה מאת: בכר שי 20-523-000260701 דירה 13</t>
        </is>
      </c>
      <c r="H103" s="243" t="n"/>
      <c r="I103" s="243" t="n"/>
    </row>
    <row r="104">
      <c r="A104" s="243" t="inlineStr">
        <is>
          <t>15/03/2024</t>
        </is>
      </c>
      <c r="B104" s="243" t="inlineStr">
        <is>
          <t>15/03/2024</t>
        </is>
      </c>
      <c r="C104" s="242" t="inlineStr">
        <is>
          <t>בנק מזרחי</t>
        </is>
      </c>
      <c r="D104" s="243" t="n">
        <v>99020</v>
      </c>
      <c r="E104" s="243" t="n">
        <v>0</v>
      </c>
      <c r="F104" s="243" t="n">
        <v>320</v>
      </c>
      <c r="G104" s="242" t="inlineStr">
        <is>
          <t>העברה מאת: בכר שי 20-523-000260701</t>
        </is>
      </c>
      <c r="H104" s="243" t="n"/>
      <c r="I104" s="243" t="n"/>
    </row>
    <row r="105">
      <c r="A105" s="243" t="inlineStr">
        <is>
          <t>15/04/2024</t>
        </is>
      </c>
      <c r="B105" s="243" t="inlineStr">
        <is>
          <t>15/04/2024</t>
        </is>
      </c>
      <c r="C105" s="242" t="inlineStr">
        <is>
          <t>בנק מזרחי</t>
        </is>
      </c>
      <c r="D105" s="243" t="n">
        <v>99020</v>
      </c>
      <c r="E105" s="243" t="n">
        <v>0</v>
      </c>
      <c r="F105" s="243" t="n">
        <v>320</v>
      </c>
      <c r="G105" s="242" t="inlineStr">
        <is>
          <t>העברה מאת: בכר שי 20-523-000260701</t>
        </is>
      </c>
      <c r="H105" s="243" t="n"/>
      <c r="I105" s="243" t="n"/>
    </row>
    <row r="106">
      <c r="A106" s="243" t="inlineStr">
        <is>
          <t>15/05/2024</t>
        </is>
      </c>
      <c r="B106" s="243" t="inlineStr">
        <is>
          <t>15/05/2024</t>
        </is>
      </c>
      <c r="C106" s="242" t="inlineStr">
        <is>
          <t>בנק מזרחי</t>
        </is>
      </c>
      <c r="D106" s="243" t="n">
        <v>99020</v>
      </c>
      <c r="E106" s="243" t="n">
        <v>0</v>
      </c>
      <c r="F106" s="243" t="n">
        <v>320</v>
      </c>
      <c r="G106" s="242" t="inlineStr">
        <is>
          <t>העברה מאת: בכר שי 20-523-000260701</t>
        </is>
      </c>
      <c r="H106" s="243" t="n"/>
      <c r="I106" s="243" t="n"/>
    </row>
    <row r="107">
      <c r="A107" s="243" t="inlineStr">
        <is>
          <t>16/06/2024</t>
        </is>
      </c>
      <c r="B107" s="243" t="inlineStr">
        <is>
          <t>16/06/2024</t>
        </is>
      </c>
      <c r="C107" s="242" t="inlineStr">
        <is>
          <t>בנק מזרחי</t>
        </is>
      </c>
      <c r="D107" s="243" t="n">
        <v>99020</v>
      </c>
      <c r="E107" s="243" t="n">
        <v>0</v>
      </c>
      <c r="F107" s="243" t="n">
        <v>320</v>
      </c>
      <c r="G107" s="242" t="inlineStr">
        <is>
          <t>העברה מאת: בכר שי 20-523-000260701</t>
        </is>
      </c>
      <c r="H107" s="243" t="n"/>
      <c r="I107" s="243" t="n"/>
    </row>
    <row r="108">
      <c r="A108" s="243" t="inlineStr">
        <is>
          <t>15/07/2024</t>
        </is>
      </c>
      <c r="B108" s="243" t="inlineStr">
        <is>
          <t>15/07/2024</t>
        </is>
      </c>
      <c r="C108" s="242" t="inlineStr">
        <is>
          <t>בנק מזרחי</t>
        </is>
      </c>
      <c r="D108" s="243" t="n">
        <v>99020</v>
      </c>
      <c r="E108" s="243" t="n">
        <v>0</v>
      </c>
      <c r="F108" s="243" t="n">
        <v>320</v>
      </c>
      <c r="G108" s="242" t="inlineStr">
        <is>
          <t>העברה מאת: בכר שי 20-523-000260701</t>
        </is>
      </c>
      <c r="H108" s="243" t="n"/>
      <c r="I108" s="243" t="n"/>
    </row>
    <row r="109">
      <c r="A109" s="243" t="inlineStr">
        <is>
          <t>15/08/2024</t>
        </is>
      </c>
      <c r="B109" s="243" t="inlineStr">
        <is>
          <t>15/08/2024</t>
        </is>
      </c>
      <c r="C109" s="242" t="inlineStr">
        <is>
          <t>בנק מזרחי</t>
        </is>
      </c>
      <c r="D109" s="243" t="n">
        <v>99020</v>
      </c>
      <c r="E109" s="243" t="n">
        <v>0</v>
      </c>
      <c r="F109" s="243" t="n">
        <v>320</v>
      </c>
      <c r="G109" s="242" t="inlineStr">
        <is>
          <t>העברה מאת: בכר שי 20-523-000260701</t>
        </is>
      </c>
      <c r="H109" s="243" t="n"/>
      <c r="I109" s="243" t="n"/>
    </row>
    <row r="110">
      <c r="A110" s="187" t="n">
        <v>45421</v>
      </c>
      <c r="B110" s="187" t="n">
        <v>45421</v>
      </c>
      <c r="C110" s="242" t="inlineStr">
        <is>
          <t>בנק מזרחי</t>
        </is>
      </c>
      <c r="D110" s="243" t="n">
        <v>99020</v>
      </c>
      <c r="E110" s="243" t="n">
        <v>0</v>
      </c>
      <c r="F110" s="243" t="n">
        <v>670</v>
      </c>
      <c r="G110" s="242" t="inlineStr">
        <is>
          <t>העברה מאת: בכר שי 20-523-000260701 תשלום ראשון</t>
        </is>
      </c>
      <c r="H110" s="243" t="n"/>
      <c r="I110" s="243" t="n"/>
    </row>
    <row r="111">
      <c r="A111" s="243" t="inlineStr">
        <is>
          <t>15/09/2024</t>
        </is>
      </c>
      <c r="B111" s="243" t="inlineStr">
        <is>
          <t>15/09/2024</t>
        </is>
      </c>
      <c r="C111" s="242" t="inlineStr">
        <is>
          <t>בנק מזרחי</t>
        </is>
      </c>
      <c r="D111" s="243" t="n">
        <v>99020</v>
      </c>
      <c r="E111" s="243" t="n">
        <v>0</v>
      </c>
      <c r="F111" s="243" t="n">
        <v>320</v>
      </c>
      <c r="G111" s="242" t="inlineStr">
        <is>
          <t>העברה מאת: בכר שי 20-523-000260701</t>
        </is>
      </c>
      <c r="H111" s="243" t="n"/>
      <c r="I111" s="243" t="n"/>
    </row>
    <row r="112">
      <c r="A112" s="243" t="inlineStr">
        <is>
          <t>13/10/2024</t>
        </is>
      </c>
      <c r="B112" s="243" t="inlineStr">
        <is>
          <t>13/10/2024</t>
        </is>
      </c>
      <c r="C112" s="242" t="inlineStr">
        <is>
          <t>בנק מזרחי</t>
        </is>
      </c>
      <c r="D112" s="243" t="n">
        <v>99020</v>
      </c>
      <c r="E112" s="243" t="n">
        <v>0</v>
      </c>
      <c r="F112" s="243" t="n">
        <v>670</v>
      </c>
      <c r="G112" s="242" t="inlineStr">
        <is>
          <t>העברה מאת: בכר שי 20-523-000260701</t>
        </is>
      </c>
      <c r="H112" s="243" t="n"/>
      <c r="I112" s="243" t="n"/>
    </row>
    <row r="113">
      <c r="A113" s="243" t="inlineStr">
        <is>
          <t>13/10/2024</t>
        </is>
      </c>
      <c r="B113" s="243" t="inlineStr">
        <is>
          <t>13/10/2024</t>
        </is>
      </c>
      <c r="C113" s="242" t="inlineStr">
        <is>
          <t>בנק מזרחי</t>
        </is>
      </c>
      <c r="D113" s="243" t="n">
        <v>99020</v>
      </c>
      <c r="E113" s="243" t="n">
        <v>0</v>
      </c>
      <c r="F113" s="243" t="n">
        <v>670</v>
      </c>
      <c r="G113" s="242" t="inlineStr">
        <is>
          <t>העברה מאת: בכר שי 20-523-000260701</t>
        </is>
      </c>
      <c r="H113" s="243" t="n"/>
      <c r="I113" s="243" t="n"/>
    </row>
    <row r="114">
      <c r="A114" s="243" t="inlineStr">
        <is>
          <t>15/10/2024</t>
        </is>
      </c>
      <c r="B114" s="243" t="inlineStr">
        <is>
          <t>15/10/2024</t>
        </is>
      </c>
      <c r="C114" s="242" t="inlineStr">
        <is>
          <t>בנק מזרחי</t>
        </is>
      </c>
      <c r="D114" s="243" t="n">
        <v>99020</v>
      </c>
      <c r="E114" s="243" t="n">
        <v>0</v>
      </c>
      <c r="F114" s="243" t="n">
        <v>320</v>
      </c>
      <c r="G114" s="242" t="inlineStr">
        <is>
          <t>העברה מאת: בכר שי 20-523-000260701</t>
        </is>
      </c>
      <c r="H114" s="243" t="n"/>
      <c r="I114" s="243" t="n"/>
    </row>
    <row r="115">
      <c r="A115" s="243" t="inlineStr">
        <is>
          <t>15/11/2024</t>
        </is>
      </c>
      <c r="B115" s="243" t="inlineStr">
        <is>
          <t>15/11/2024</t>
        </is>
      </c>
      <c r="C115" s="242" t="inlineStr">
        <is>
          <t>בנק מזרחי</t>
        </is>
      </c>
      <c r="D115" s="243" t="n">
        <v>99020</v>
      </c>
      <c r="E115" s="243" t="n">
        <v>0</v>
      </c>
      <c r="F115" s="243" t="n">
        <v>320</v>
      </c>
      <c r="G115" s="242" t="inlineStr">
        <is>
          <t>העברה מאת: בכר שי 20-523-000260701</t>
        </is>
      </c>
      <c r="H115" s="243" t="n"/>
      <c r="I115" s="243" t="n"/>
    </row>
    <row r="116">
      <c r="A116" s="243" t="inlineStr">
        <is>
          <t>22/11/2024</t>
        </is>
      </c>
      <c r="B116" s="243" t="inlineStr">
        <is>
          <t>22/11/2024</t>
        </is>
      </c>
      <c r="C116" s="242" t="inlineStr">
        <is>
          <t>בנק מזרחי</t>
        </is>
      </c>
      <c r="D116" s="243" t="n">
        <v>99020</v>
      </c>
      <c r="E116" s="243" t="n">
        <v>0</v>
      </c>
      <c r="F116" s="243" t="n">
        <v>670</v>
      </c>
      <c r="G116" s="242" t="inlineStr">
        <is>
          <t>העברה מאת: בכר שי 20-523-000260701 תשלום</t>
        </is>
      </c>
      <c r="H116" s="243" t="n"/>
      <c r="I116" s="243" t="n"/>
    </row>
    <row r="117">
      <c r="A117" s="243" t="inlineStr">
        <is>
          <t>15/12/2024</t>
        </is>
      </c>
      <c r="B117" s="243" t="inlineStr">
        <is>
          <t>15/12/2024</t>
        </is>
      </c>
      <c r="C117" s="242" t="inlineStr">
        <is>
          <t>בנק מזרחי</t>
        </is>
      </c>
      <c r="D117" s="243" t="n">
        <v>99020</v>
      </c>
      <c r="E117" s="243" t="n">
        <v>0</v>
      </c>
      <c r="F117" s="243" t="n">
        <v>320</v>
      </c>
      <c r="G117" s="242" t="inlineStr">
        <is>
          <t>העברה מאת: בכר שי 20-523-000260701</t>
        </is>
      </c>
      <c r="H117" s="243" t="n"/>
      <c r="I117" s="243" t="n"/>
    </row>
    <row r="118">
      <c r="A118" s="243" t="inlineStr">
        <is>
          <t>16/02/2025</t>
        </is>
      </c>
      <c r="B118" s="243" t="inlineStr">
        <is>
          <t>16/02/2025</t>
        </is>
      </c>
      <c r="C118" s="242" t="inlineStr">
        <is>
          <t>בנק מזרחי</t>
        </is>
      </c>
      <c r="D118" s="243" t="n">
        <v>99020</v>
      </c>
      <c r="E118" s="243" t="n">
        <v>0</v>
      </c>
      <c r="F118" s="243" t="n">
        <v>320</v>
      </c>
      <c r="G118" s="242" t="inlineStr">
        <is>
          <t>העברה מאת: בכר שי 20-523-000260701</t>
        </is>
      </c>
      <c r="H118" s="243" t="n"/>
      <c r="I118" s="243" t="n"/>
    </row>
    <row r="119">
      <c r="A119" s="243" t="inlineStr">
        <is>
          <t>24/03/2025</t>
        </is>
      </c>
      <c r="B119" s="243" t="inlineStr">
        <is>
          <t>24/03/2025</t>
        </is>
      </c>
      <c r="C119" s="242" t="inlineStr">
        <is>
          <t>בנק מזרחי</t>
        </is>
      </c>
      <c r="D119" s="243" t="n">
        <v>99020</v>
      </c>
      <c r="E119" s="243" t="n">
        <v>0</v>
      </c>
      <c r="F119" s="243" t="n">
        <v>820</v>
      </c>
      <c r="G119" s="242" t="inlineStr">
        <is>
          <t>העברה מאת: בכר שי 20-523-000260701</t>
        </is>
      </c>
      <c r="H119" s="243" t="n"/>
      <c r="I119" s="243" t="n"/>
    </row>
    <row r="120">
      <c r="A120" s="243" t="inlineStr">
        <is>
          <t>15/04/2025</t>
        </is>
      </c>
      <c r="B120" s="243" t="inlineStr">
        <is>
          <t>15/04/2025</t>
        </is>
      </c>
      <c r="C120" s="242" t="inlineStr">
        <is>
          <t>בנק מזרחי</t>
        </is>
      </c>
      <c r="D120" s="243" t="n">
        <v>99020</v>
      </c>
      <c r="E120" s="243" t="n">
        <v>0</v>
      </c>
      <c r="F120" s="243" t="n">
        <v>320</v>
      </c>
      <c r="G120" s="242" t="inlineStr">
        <is>
          <t>העברה מאת: בכר שי 20-523-000260701</t>
        </is>
      </c>
      <c r="H120" s="243" t="n"/>
      <c r="I120" s="243" t="n"/>
    </row>
    <row r="121">
      <c r="A121" s="243" t="inlineStr">
        <is>
          <t>15/05/2025</t>
        </is>
      </c>
      <c r="B121" s="243" t="inlineStr">
        <is>
          <t>15/05/2025</t>
        </is>
      </c>
      <c r="C121" s="242" t="inlineStr">
        <is>
          <t>בנק מזרחי</t>
        </is>
      </c>
      <c r="D121" s="243" t="n">
        <v>99020</v>
      </c>
      <c r="E121" s="243" t="n">
        <v>0</v>
      </c>
      <c r="F121" s="243" t="n">
        <v>320</v>
      </c>
      <c r="G121" s="242" t="inlineStr">
        <is>
          <t>העברה מאת: בכר שי 20-523-000260701</t>
        </is>
      </c>
      <c r="H121" s="243" t="n"/>
      <c r="I121" s="243" t="n"/>
    </row>
    <row r="122">
      <c r="A122" s="243" t="inlineStr">
        <is>
          <t>15/06/2025</t>
        </is>
      </c>
      <c r="B122" s="243" t="inlineStr">
        <is>
          <t>15/06/2025</t>
        </is>
      </c>
      <c r="C122" s="242" t="inlineStr">
        <is>
          <t>בנק מזרחי</t>
        </is>
      </c>
      <c r="D122" s="243" t="n">
        <v>99020</v>
      </c>
      <c r="E122" s="243" t="n">
        <v>0</v>
      </c>
      <c r="F122" s="243" t="n">
        <v>320</v>
      </c>
      <c r="G122" s="242" t="inlineStr">
        <is>
          <t>העברה מאת: בכר שי 20-523-000260701</t>
        </is>
      </c>
      <c r="H122" s="243" t="n"/>
      <c r="I122" s="243" t="n"/>
    </row>
    <row r="123">
      <c r="A123" s="243" t="inlineStr">
        <is>
          <t>15/07/2025</t>
        </is>
      </c>
      <c r="B123" s="243" t="inlineStr">
        <is>
          <t>15/07/2025</t>
        </is>
      </c>
      <c r="C123" s="242" t="inlineStr">
        <is>
          <t>בנק מזרחי</t>
        </is>
      </c>
      <c r="D123" s="243" t="n">
        <v>99020</v>
      </c>
      <c r="E123" s="243" t="n">
        <v>0</v>
      </c>
      <c r="F123" s="243" t="n">
        <v>320</v>
      </c>
      <c r="G123" s="242" t="inlineStr">
        <is>
          <t>העברה מאת: בכר שי 20-523-000260701</t>
        </is>
      </c>
      <c r="H123" s="243" t="n"/>
      <c r="I123" s="243" t="n"/>
    </row>
    <row r="124">
      <c r="A124" s="243" t="inlineStr">
        <is>
          <t>21/07/2025</t>
        </is>
      </c>
      <c r="B124" s="243" t="inlineStr">
        <is>
          <t>21/07/2025</t>
        </is>
      </c>
      <c r="C124" s="242" t="inlineStr">
        <is>
          <t>בנק מזרחי</t>
        </is>
      </c>
      <c r="D124" s="243" t="n">
        <v>99020</v>
      </c>
      <c r="E124" s="243" t="n">
        <v>0</v>
      </c>
      <c r="F124" s="243" t="n">
        <v>883</v>
      </c>
      <c r="G124" s="242" t="inlineStr">
        <is>
          <t>העברה מאת: בכר שי 20-523-000260701</t>
        </is>
      </c>
      <c r="H124" s="243" t="n"/>
      <c r="I124" s="243" t="n"/>
    </row>
    <row r="125">
      <c r="A125" s="243" t="inlineStr">
        <is>
          <t>15/08/2025</t>
        </is>
      </c>
      <c r="B125" s="243" t="inlineStr">
        <is>
          <t>15/08/2025</t>
        </is>
      </c>
      <c r="C125" s="242" t="inlineStr">
        <is>
          <t>בנק מזרחי</t>
        </is>
      </c>
      <c r="D125" s="243" t="n">
        <v>99020</v>
      </c>
      <c r="E125" s="243" t="n">
        <v>0</v>
      </c>
      <c r="F125" s="243" t="n">
        <v>320</v>
      </c>
      <c r="G125" s="242" t="inlineStr">
        <is>
          <t>העברה מאת: בכר שי 20-523-000260701</t>
        </is>
      </c>
      <c r="H125" s="243" t="n"/>
      <c r="I125" s="243" t="n"/>
    </row>
    <row r="126">
      <c r="A126" s="243" t="inlineStr">
        <is>
          <t>14/09/2025</t>
        </is>
      </c>
      <c r="B126" s="243" t="inlineStr">
        <is>
          <t>14/09/2025</t>
        </is>
      </c>
      <c r="C126" s="242" t="inlineStr">
        <is>
          <t>בנק מזרחי</t>
        </is>
      </c>
      <c r="D126" s="243" t="n">
        <v>99020</v>
      </c>
      <c r="E126" s="243" t="n">
        <v>0</v>
      </c>
      <c r="F126" s="243" t="n">
        <v>883</v>
      </c>
      <c r="G126" s="242" t="inlineStr">
        <is>
          <t>העברה מאת: בכר שי 20-523-000260701</t>
        </is>
      </c>
      <c r="H126" s="243" t="n"/>
      <c r="I126" s="243" t="n"/>
    </row>
    <row r="127">
      <c r="A127" s="243" t="inlineStr">
        <is>
          <t>15/09/2025</t>
        </is>
      </c>
      <c r="B127" s="243" t="inlineStr">
        <is>
          <t>15/09/2025</t>
        </is>
      </c>
      <c r="C127" s="242" t="inlineStr">
        <is>
          <t>בנק מזרחי</t>
        </is>
      </c>
      <c r="D127" s="243" t="n">
        <v>99020</v>
      </c>
      <c r="E127" s="243" t="n">
        <v>0</v>
      </c>
      <c r="F127" s="243" t="n">
        <v>320</v>
      </c>
      <c r="G127" s="242" t="inlineStr">
        <is>
          <t>העברה מאת: בכר שי 20-523-000260701</t>
        </is>
      </c>
      <c r="H127" s="243" t="n"/>
      <c r="I127" s="243" t="n"/>
    </row>
    <row r="128">
      <c r="A128" s="243" t="inlineStr">
        <is>
          <t>15/10/2025</t>
        </is>
      </c>
      <c r="B128" s="243" t="inlineStr">
        <is>
          <t>15/10/2025</t>
        </is>
      </c>
      <c r="C128" s="242" t="inlineStr">
        <is>
          <t>בנק מזרחי</t>
        </is>
      </c>
      <c r="D128" s="243" t="n">
        <v>99020</v>
      </c>
      <c r="E128" s="243" t="n">
        <v>0</v>
      </c>
      <c r="F128" s="243" t="n">
        <v>320</v>
      </c>
      <c r="G128" s="242" t="inlineStr">
        <is>
          <t>העברה מאת: בכר שי 20-523-000260701</t>
        </is>
      </c>
      <c r="H128" s="243" t="n"/>
      <c r="I128" s="243" t="n"/>
    </row>
    <row r="129">
      <c r="A129" s="243" t="inlineStr">
        <is>
          <t>16/11/2025</t>
        </is>
      </c>
      <c r="B129" s="243" t="inlineStr">
        <is>
          <t>16/11/2025</t>
        </is>
      </c>
      <c r="C129" s="242" t="inlineStr">
        <is>
          <t>בנק מזרחי</t>
        </is>
      </c>
      <c r="D129" s="243" t="n">
        <v>99020</v>
      </c>
      <c r="E129" s="243" t="n">
        <v>0</v>
      </c>
      <c r="F129" s="243" t="n">
        <v>350</v>
      </c>
      <c r="G129" s="242" t="inlineStr">
        <is>
          <t>העברה מאת: בכר שי 20-523-000260701</t>
        </is>
      </c>
      <c r="H129" s="243" t="n"/>
      <c r="I129" s="243" t="n"/>
    </row>
    <row r="130">
      <c r="A130" s="243" t="inlineStr">
        <is>
          <t>15/12/2025</t>
        </is>
      </c>
      <c r="B130" s="243" t="inlineStr">
        <is>
          <t>15/12/2025</t>
        </is>
      </c>
      <c r="C130" s="242" t="inlineStr">
        <is>
          <t>בנק מזרחי</t>
        </is>
      </c>
      <c r="D130" s="243" t="n">
        <v>99020</v>
      </c>
      <c r="E130" s="243" t="n">
        <v>0</v>
      </c>
      <c r="F130" s="243" t="n">
        <v>350</v>
      </c>
      <c r="G130" s="242" t="inlineStr">
        <is>
          <t>העברה מאת: בכר שי 20-523-000260701</t>
        </is>
      </c>
      <c r="H130" s="243" t="n"/>
      <c r="I130" s="243" t="n"/>
    </row>
    <row r="131">
      <c r="A131" s="243" t="inlineStr">
        <is>
          <t>15/01/2026</t>
        </is>
      </c>
      <c r="B131" s="243" t="inlineStr">
        <is>
          <t>15/01/2026</t>
        </is>
      </c>
      <c r="C131" s="242" t="inlineStr">
        <is>
          <t>בנק מזרחי</t>
        </is>
      </c>
      <c r="D131" s="243" t="n">
        <v>99020</v>
      </c>
      <c r="E131" s="243" t="n">
        <v>0</v>
      </c>
      <c r="F131" s="243" t="n">
        <v>350</v>
      </c>
      <c r="G131" s="242" t="inlineStr">
        <is>
          <t>העברה מאת: בכר שי 20-523-000260701</t>
        </is>
      </c>
      <c r="H131" s="243" t="n"/>
      <c r="I131" s="243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2026-05-08T18:55:13Z</dcterms:modified>
  <cp:lastModifiedBy>Daniel V</cp:lastModifiedBy>
</cp:coreProperties>
</file>