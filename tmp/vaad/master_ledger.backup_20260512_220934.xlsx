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D2984BD492A72A5AB74790BB828A37D25847A856" xr6:coauthVersionLast="47" xr6:coauthVersionMax="47" xr10:uidLastSave="{91BB5A9D-C88E-40CF-B7C7-602930E01945}"/>
  <bookViews>
    <workbookView xWindow="-120" yWindow="-120" windowWidth="29040" windowHeight="15720" firstSheet="1" activeTab="1" xr2:uid="{00000000-000D-0000-FFFF-FFFF00000000}"/>
  </bookViews>
  <sheets>
    <sheet name="גביה 2026" sheetId="1" r:id="rId1"/>
    <sheet name="הוצאות 2026" sheetId="2" r:id="rId2"/>
    <sheet name="Jan26" sheetId="3" r:id="rId3"/>
    <sheet name="Feb26" sheetId="4" r:id="rId4"/>
    <sheet name="March26" sheetId="5" r:id="rId5"/>
    <sheet name="April26" sheetId="6" r:id="rId6"/>
    <sheet name="קופה קטנה" sheetId="7" r:id="rId7"/>
    <sheet name="חוב דירה 13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I55" i="8"/>
  <c r="K55" i="8" s="1"/>
  <c r="J54" i="8"/>
  <c r="J56" i="8" s="1"/>
  <c r="I54" i="8"/>
  <c r="I46" i="8"/>
  <c r="I45" i="8"/>
  <c r="I44" i="8"/>
  <c r="L43" i="7"/>
  <c r="K43" i="7"/>
  <c r="J43" i="7"/>
  <c r="I43" i="7"/>
  <c r="H43" i="7"/>
  <c r="G43" i="7"/>
  <c r="F43" i="7"/>
  <c r="E43" i="7"/>
  <c r="D43" i="7"/>
  <c r="C43" i="7"/>
  <c r="B43" i="7"/>
  <c r="N43" i="7" s="1"/>
  <c r="D49" i="7" s="1"/>
  <c r="B59" i="7" s="1"/>
  <c r="O31" i="2"/>
  <c r="N31" i="2"/>
  <c r="M16" i="2"/>
  <c r="L16" i="2"/>
  <c r="K16" i="2"/>
  <c r="J16" i="2"/>
  <c r="I16" i="2"/>
  <c r="H16" i="2"/>
  <c r="G16" i="2"/>
  <c r="F16" i="2"/>
  <c r="E16" i="2"/>
  <c r="B16" i="2"/>
  <c r="M14" i="2"/>
  <c r="M17" i="2" s="1"/>
  <c r="L14" i="2"/>
  <c r="L17" i="2" s="1"/>
  <c r="K14" i="2"/>
  <c r="K17" i="2" s="1"/>
  <c r="J14" i="2"/>
  <c r="J17" i="2" s="1"/>
  <c r="I14" i="2"/>
  <c r="I17" i="2" s="1"/>
  <c r="H14" i="2"/>
  <c r="H17" i="2" s="1"/>
  <c r="G14" i="2"/>
  <c r="G17" i="2" s="1"/>
  <c r="F14" i="2"/>
  <c r="F17" i="2" s="1"/>
  <c r="E14" i="2"/>
  <c r="E17" i="2" s="1"/>
  <c r="D14" i="2"/>
  <c r="D17" i="2" s="1"/>
  <c r="C14" i="2"/>
  <c r="C17" i="2" s="1"/>
  <c r="B14" i="2"/>
  <c r="B17" i="2" s="1"/>
  <c r="C13" i="2"/>
  <c r="C16" i="2" s="1"/>
  <c r="O12" i="2"/>
  <c r="N12" i="2"/>
  <c r="O11" i="2"/>
  <c r="N11" i="2"/>
  <c r="D10" i="2"/>
  <c r="D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P63" i="1"/>
  <c r="O63" i="1"/>
  <c r="N63" i="1"/>
  <c r="M63" i="1"/>
  <c r="L63" i="1"/>
  <c r="K63" i="1"/>
  <c r="J63" i="1"/>
  <c r="I63" i="1"/>
  <c r="H63" i="1"/>
  <c r="G63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 a="1"/>
  <c r="X61" i="1"/>
  <c r="X60" i="1" a="1"/>
  <c r="X60" i="1"/>
  <c r="X59" i="1" a="1"/>
  <c r="X59" i="1"/>
  <c r="X58" i="1" a="1"/>
  <c r="X58" i="1"/>
  <c r="X57" i="1" a="1"/>
  <c r="X57" i="1"/>
  <c r="X56" i="1" a="1"/>
  <c r="X56" i="1"/>
  <c r="X55" i="1" a="1"/>
  <c r="X55" i="1"/>
  <c r="X54" i="1" a="1"/>
  <c r="X54" i="1"/>
  <c r="X53" i="1" a="1"/>
  <c r="X53" i="1"/>
  <c r="X52" i="1" a="1"/>
  <c r="X52" i="1"/>
  <c r="X51" i="1" a="1"/>
  <c r="X51" i="1"/>
  <c r="X50" i="1" a="1"/>
  <c r="X50" i="1"/>
  <c r="X49" i="1" a="1"/>
  <c r="X49" i="1"/>
  <c r="X48" i="1" a="1"/>
  <c r="X48" i="1"/>
  <c r="X47" i="1" a="1"/>
  <c r="X47" i="1"/>
  <c r="X46" i="1" a="1"/>
  <c r="X46" i="1"/>
  <c r="X45" i="1" a="1"/>
  <c r="X45" i="1"/>
  <c r="X44" i="1" a="1"/>
  <c r="X44" i="1"/>
  <c r="X43" i="1" a="1"/>
  <c r="X43" i="1"/>
  <c r="X42" i="1" a="1"/>
  <c r="X42" i="1"/>
  <c r="X41" i="1" a="1"/>
  <c r="X41" i="1"/>
  <c r="X40" i="1" a="1"/>
  <c r="X40" i="1"/>
  <c r="X39" i="1" a="1"/>
  <c r="X39" i="1"/>
  <c r="X38" i="1" a="1"/>
  <c r="X38" i="1"/>
  <c r="X37" i="1" a="1"/>
  <c r="X37" i="1"/>
  <c r="X36" i="1" a="1"/>
  <c r="X36" i="1"/>
  <c r="X35" i="1" a="1"/>
  <c r="X35" i="1"/>
  <c r="X34" i="1" a="1"/>
  <c r="X34" i="1"/>
  <c r="X33" i="1" a="1"/>
  <c r="X33" i="1"/>
  <c r="X32" i="1" a="1"/>
  <c r="X32" i="1"/>
  <c r="X31" i="1" a="1"/>
  <c r="X31" i="1"/>
  <c r="X30" i="1" a="1"/>
  <c r="X30" i="1"/>
  <c r="X29" i="1" a="1"/>
  <c r="X29" i="1"/>
  <c r="X28" i="1" a="1"/>
  <c r="X28" i="1"/>
  <c r="X27" i="1" a="1"/>
  <c r="X27" i="1"/>
  <c r="X26" i="1" a="1"/>
  <c r="X26" i="1"/>
  <c r="X25" i="1" a="1"/>
  <c r="X25" i="1"/>
  <c r="X24" i="1" a="1"/>
  <c r="X24" i="1"/>
  <c r="X23" i="1" a="1"/>
  <c r="X23" i="1"/>
  <c r="X22" i="1" a="1"/>
  <c r="X22" i="1"/>
  <c r="X21" i="1" a="1"/>
  <c r="X21" i="1"/>
  <c r="X20" i="1" a="1"/>
  <c r="X20" i="1"/>
  <c r="X19" i="1" a="1"/>
  <c r="X19" i="1"/>
  <c r="X18" i="1" a="1"/>
  <c r="X18" i="1"/>
  <c r="X17" i="1" a="1"/>
  <c r="X17" i="1"/>
  <c r="X16" i="1" a="1"/>
  <c r="X16" i="1"/>
  <c r="X15" i="1" a="1"/>
  <c r="X15" i="1"/>
  <c r="X14" i="1" a="1"/>
  <c r="X14" i="1"/>
  <c r="X13" i="1" a="1"/>
  <c r="X13" i="1"/>
  <c r="X12" i="1" a="1"/>
  <c r="X12" i="1"/>
  <c r="X11" i="1" a="1"/>
  <c r="X11" i="1"/>
  <c r="X10" i="1" a="1"/>
  <c r="X10" i="1"/>
  <c r="X9" i="1" a="1"/>
  <c r="X9" i="1"/>
  <c r="X8" i="1" a="1"/>
  <c r="X8" i="1"/>
  <c r="X7" i="1" a="1"/>
  <c r="X7" i="1"/>
  <c r="Y6" i="1" a="1"/>
  <c r="Y6" i="1"/>
  <c r="X6" i="1" a="1"/>
  <c r="X6" i="1"/>
  <c r="X5" i="1" a="1"/>
  <c r="X5" i="1"/>
  <c r="X4" i="1" a="1"/>
  <c r="X4" i="1"/>
  <c r="X3" i="1" a="1"/>
  <c r="X3" i="1"/>
  <c r="Y2" i="1" a="1"/>
  <c r="Y2" i="1"/>
  <c r="X2" i="1" a="1"/>
  <c r="X2" i="1"/>
  <c r="X69" i="1" s="1"/>
  <c r="B19" i="2" l="1"/>
  <c r="E64" i="1"/>
  <c r="C19" i="2"/>
  <c r="F64" i="1"/>
  <c r="D19" i="2"/>
  <c r="G64" i="1"/>
  <c r="E19" i="2"/>
  <c r="H64" i="1"/>
  <c r="F19" i="2"/>
  <c r="I64" i="1"/>
  <c r="G19" i="2"/>
  <c r="J64" i="1"/>
  <c r="H19" i="2"/>
  <c r="K64" i="1"/>
  <c r="I19" i="2"/>
  <c r="L64" i="1"/>
  <c r="J19" i="2"/>
  <c r="M64" i="1"/>
  <c r="K19" i="2"/>
  <c r="N64" i="1"/>
  <c r="L19" i="2"/>
  <c r="O64" i="1"/>
  <c r="M19" i="2"/>
  <c r="P64" i="1"/>
  <c r="D48" i="7"/>
  <c r="B58" i="7" s="1"/>
  <c r="Q64" i="1"/>
  <c r="D16" i="2"/>
  <c r="O9" i="2"/>
  <c r="N9" i="2"/>
  <c r="O10" i="2"/>
  <c r="N10" i="2"/>
  <c r="C20" i="2"/>
  <c r="C18" i="2"/>
  <c r="O17" i="2"/>
  <c r="N17" i="2"/>
  <c r="B20" i="2"/>
  <c r="B18" i="2"/>
  <c r="O16" i="2"/>
  <c r="N16" i="2"/>
  <c r="E20" i="2"/>
  <c r="E18" i="2"/>
  <c r="F20" i="2"/>
  <c r="F18" i="2"/>
  <c r="G20" i="2"/>
  <c r="G18" i="2"/>
  <c r="H20" i="2"/>
  <c r="H18" i="2"/>
  <c r="I20" i="2"/>
  <c r="I18" i="2"/>
  <c r="J20" i="2"/>
  <c r="J18" i="2"/>
  <c r="K20" i="2"/>
  <c r="K18" i="2"/>
  <c r="L20" i="2"/>
  <c r="L18" i="2"/>
  <c r="M20" i="2"/>
  <c r="M18" i="2"/>
  <c r="B60" i="7"/>
  <c r="I56" i="8"/>
  <c r="K54" i="8"/>
  <c r="J58" i="8"/>
  <c r="D20" i="2" l="1"/>
  <c r="D18" i="2"/>
  <c r="O19" i="2"/>
  <c r="N19" i="2"/>
  <c r="O18" i="2" l="1"/>
  <c r="N18" i="2"/>
  <c r="O20" i="2"/>
  <c r="N20" i="2"/>
</calcChain>
</file>

<file path=xl/sharedStrings.xml><?xml version="1.0" encoding="utf-8"?>
<sst xmlns="http://schemas.openxmlformats.org/spreadsheetml/2006/main" count="1414" uniqueCount="413">
  <si>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</si>
  <si>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</si>
  <si>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</si>
  <si>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</si>
  <si>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</si>
  <si>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</si>
  <si>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</si>
  <si>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</si>
  <si>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</si>
  <si>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</si>
  <si>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</si>
  <si>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</si>
  <si>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</si>
  <si>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</si>
  <si>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</si>
  <si>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</si>
  <si>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</si>
  <si>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</si>
  <si>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</si>
  <si>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</si>
  <si>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</si>
  <si>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</si>
  <si>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</si>
  <si>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</si>
  <si>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</si>
  <si>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</si>
  <si>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</si>
  <si>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</si>
  <si>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</si>
  <si>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</si>
  <si>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</si>
  <si>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</si>
  <si>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</si>
  <si>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</si>
  <si>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</si>
  <si>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</si>
  <si>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</si>
  <si>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</si>
  <si>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</si>
  <si>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</si>
  <si>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</si>
  <si>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</si>
  <si>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</si>
  <si>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</si>
  <si>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</si>
  <si>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</si>
  <si>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</si>
  <si>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</si>
  <si>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</si>
  <si>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</si>
  <si>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</si>
  <si>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</si>
  <si>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</si>
  <si>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</si>
  <si>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</si>
  <si>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</si>
  <si>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</si>
  <si>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</si>
  <si>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</si>
  <si>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</si>
  <si>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</si>
  <si>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</si>
  <si>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</si>
  <si>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</si>
  <si>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</si>
  <si>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</si>
  <si>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</si>
  <si>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</si>
  <si>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</si>
  <si>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</si>
  <si>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</si>
  <si>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</si>
  <si>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</si>
  <si>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</si>
  <si>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</si>
  <si>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</si>
  <si>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</si>
  <si>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</si>
  <si>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</si>
  <si>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</si>
  <si>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</si>
  <si>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</si>
  <si>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</si>
  <si>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</si>
  <si>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</si>
  <si>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</si>
  <si>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</si>
  <si>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</si>
  <si>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</si>
  <si>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</si>
  <si>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</si>
  <si>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</si>
  <si>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</si>
  <si>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</si>
  <si>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</si>
  <si>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</si>
  <si>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</si>
  <si>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</si>
  <si>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</si>
  <si>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</si>
  <si>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</si>
  <si>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</si>
  <si>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</si>
  <si>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</si>
  <si>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</si>
  <si>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</si>
  <si>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</si>
  <si>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</si>
  <si>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</si>
  <si>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</si>
  <si>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</si>
  <si>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</si>
  <si>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</si>
  <si>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</si>
  <si>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</si>
  <si>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</si>
  <si>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</si>
  <si>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</si>
  <si>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</si>
  <si>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</si>
  <si>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</si>
  <si>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</si>
  <si>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</si>
  <si>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</si>
  <si>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</si>
  <si>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</si>
  <si>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</si>
  <si>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</si>
  <si>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</si>
  <si>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</si>
  <si>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</si>
  <si>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</si>
  <si>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</si>
  <si>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</si>
  <si>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</si>
  <si>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</si>
  <si>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</si>
  <si>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</si>
  <si>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</si>
  <si>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</si>
  <si>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</si>
  <si>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</si>
  <si>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</si>
  <si>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</si>
  <si>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צבע | מברשת פלדה דגל | האגמית 7 חיטוי מאגרים | דגל יום עצמאות | האגמית 7 דגלים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</si>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</sst>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21">
    <xf numFmtId="0" fontId="0" fillId="0" borderId="0" xfId="0"/>
    <xf numFmtId="0" fontId="9" fillId="0" borderId="0" xfId="0" applyFont="1"/>
    <xf numFmtId="14" fontId="4" fillId="4" borderId="0" xfId="3" applyNumberFormat="1"/>
    <xf numFmtId="4" fontId="4" fillId="4" borderId="0" xfId="3" applyNumberFormat="1"/>
    <xf numFmtId="0" fontId="4" fillId="4" borderId="0" xfId="3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9" borderId="1" xfId="0" applyFill="1" applyBorder="1"/>
    <xf numFmtId="0" fontId="0" fillId="5" borderId="7" xfId="4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6" xfId="0" applyFont="1" applyBorder="1"/>
    <xf numFmtId="0" fontId="1" fillId="7" borderId="0" xfId="6"/>
    <xf numFmtId="14" fontId="1" fillId="7" borderId="0" xfId="6" applyNumberFormat="1"/>
    <xf numFmtId="4" fontId="1" fillId="7" borderId="0" xfId="6" applyNumberFormat="1"/>
    <xf numFmtId="0" fontId="2" fillId="0" borderId="0" xfId="0" applyFont="1"/>
    <xf numFmtId="9" fontId="0" fillId="0" borderId="0" xfId="2" applyFont="1"/>
    <xf numFmtId="9" fontId="2" fillId="0" borderId="0" xfId="2" applyFont="1"/>
    <xf numFmtId="0" fontId="1" fillId="8" borderId="0" xfId="7"/>
    <xf numFmtId="0" fontId="0" fillId="0" borderId="0" xfId="0" applyAlignment="1">
      <alignment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22" xfId="0" applyFont="1" applyFill="1" applyBorder="1"/>
    <xf numFmtId="0" fontId="0" fillId="0" borderId="23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9" borderId="23" xfId="0" applyFill="1" applyBorder="1"/>
    <xf numFmtId="0" fontId="11" fillId="0" borderId="0" xfId="0" applyFont="1"/>
    <xf numFmtId="0" fontId="0" fillId="0" borderId="24" xfId="0" applyBorder="1"/>
    <xf numFmtId="0" fontId="0" fillId="0" borderId="24" xfId="0" applyBorder="1" applyAlignment="1">
      <alignment horizontal="right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0" borderId="27" xfId="0" applyBorder="1"/>
    <xf numFmtId="0" fontId="0" fillId="0" borderId="28" xfId="0" applyBorder="1" applyAlignment="1">
      <alignment vertical="center"/>
    </xf>
    <xf numFmtId="0" fontId="2" fillId="0" borderId="20" xfId="0" applyFont="1" applyBorder="1" applyAlignment="1">
      <alignment horizontal="center"/>
    </xf>
    <xf numFmtId="0" fontId="0" fillId="9" borderId="20" xfId="0" applyFill="1" applyBorder="1"/>
    <xf numFmtId="0" fontId="0" fillId="9" borderId="27" xfId="0" applyFill="1" applyBorder="1"/>
    <xf numFmtId="0" fontId="13" fillId="0" borderId="0" xfId="0" applyFont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0" xfId="0" applyFont="1" applyAlignment="1">
      <alignment readingOrder="2"/>
    </xf>
    <xf numFmtId="0" fontId="13" fillId="0" borderId="32" xfId="0" applyFont="1" applyBorder="1" applyAlignment="1">
      <alignment readingOrder="2"/>
    </xf>
    <xf numFmtId="0" fontId="13" fillId="0" borderId="33" xfId="0" applyFont="1" applyBorder="1" applyAlignment="1">
      <alignment wrapText="1" readingOrder="2"/>
    </xf>
    <xf numFmtId="0" fontId="16" fillId="0" borderId="34" xfId="0" applyFont="1" applyBorder="1" applyAlignment="1">
      <alignment wrapText="1" readingOrder="2"/>
    </xf>
    <xf numFmtId="0" fontId="16" fillId="0" borderId="35" xfId="0" applyFont="1" applyBorder="1" applyAlignment="1">
      <alignment readingOrder="2"/>
    </xf>
    <xf numFmtId="0" fontId="16" fillId="0" borderId="36" xfId="0" applyFont="1" applyBorder="1" applyAlignment="1">
      <alignment readingOrder="2"/>
    </xf>
    <xf numFmtId="0" fontId="16" fillId="10" borderId="37" xfId="0" applyFont="1" applyFill="1" applyBorder="1" applyAlignment="1">
      <alignment readingOrder="2"/>
    </xf>
    <xf numFmtId="0" fontId="16" fillId="0" borderId="32" xfId="0" applyFont="1" applyBorder="1" applyAlignment="1">
      <alignment readingOrder="2"/>
    </xf>
    <xf numFmtId="0" fontId="16" fillId="0" borderId="33" xfId="0" applyFont="1" applyBorder="1" applyAlignment="1">
      <alignment readingOrder="2"/>
    </xf>
    <xf numFmtId="0" fontId="13" fillId="0" borderId="42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43" xfId="0" applyFont="1" applyFill="1" applyBorder="1" applyAlignment="1">
      <alignment readingOrder="1"/>
    </xf>
    <xf numFmtId="0" fontId="13" fillId="0" borderId="35" xfId="0" applyFont="1" applyBorder="1" applyAlignment="1">
      <alignment readingOrder="2"/>
    </xf>
    <xf numFmtId="0" fontId="13" fillId="0" borderId="36" xfId="0" applyFont="1" applyBorder="1" applyAlignment="1">
      <alignment readingOrder="2"/>
    </xf>
    <xf numFmtId="0" fontId="13" fillId="10" borderId="37" xfId="0" applyFont="1" applyFill="1" applyBorder="1" applyAlignment="1">
      <alignment readingOrder="2"/>
    </xf>
    <xf numFmtId="0" fontId="13" fillId="0" borderId="0" xfId="0" applyFont="1" applyAlignment="1">
      <alignment wrapText="1" readingOrder="1"/>
    </xf>
    <xf numFmtId="0" fontId="13" fillId="0" borderId="40" xfId="0" applyFont="1" applyBorder="1" applyAlignment="1">
      <alignment readingOrder="1"/>
    </xf>
    <xf numFmtId="0" fontId="13" fillId="0" borderId="36" xfId="0" applyFont="1" applyBorder="1" applyAlignment="1">
      <alignment wrapText="1" readingOrder="2"/>
    </xf>
    <xf numFmtId="0" fontId="16" fillId="10" borderId="5" xfId="0" applyFont="1" applyFill="1" applyBorder="1" applyAlignment="1">
      <alignment readingOrder="2"/>
    </xf>
    <xf numFmtId="0" fontId="16" fillId="0" borderId="34" xfId="0" applyFont="1" applyBorder="1" applyAlignment="1">
      <alignment readingOrder="2"/>
    </xf>
    <xf numFmtId="0" fontId="16" fillId="0" borderId="44" xfId="0" applyFont="1" applyBorder="1" applyAlignment="1">
      <alignment wrapText="1" readingOrder="2"/>
    </xf>
    <xf numFmtId="0" fontId="13" fillId="10" borderId="14" xfId="0" applyFont="1" applyFill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43" xfId="0" applyFont="1" applyBorder="1" applyAlignment="1">
      <alignment readingOrder="1"/>
    </xf>
    <xf numFmtId="0" fontId="13" fillId="10" borderId="5" xfId="0" applyFont="1" applyFill="1" applyBorder="1" applyAlignment="1">
      <alignment readingOrder="2"/>
    </xf>
    <xf numFmtId="0" fontId="13" fillId="0" borderId="34" xfId="0" applyFont="1" applyBorder="1" applyAlignment="1">
      <alignment readingOrder="2"/>
    </xf>
    <xf numFmtId="0" fontId="13" fillId="0" borderId="37" xfId="0" applyFont="1" applyBorder="1" applyAlignment="1">
      <alignment readingOrder="2"/>
    </xf>
    <xf numFmtId="0" fontId="16" fillId="11" borderId="29" xfId="0" applyFont="1" applyFill="1" applyBorder="1" applyAlignment="1">
      <alignment readingOrder="2"/>
    </xf>
    <xf numFmtId="0" fontId="16" fillId="11" borderId="45" xfId="0" applyFont="1" applyFill="1" applyBorder="1" applyAlignment="1">
      <alignment readingOrder="2"/>
    </xf>
    <xf numFmtId="0" fontId="13" fillId="11" borderId="46" xfId="0" applyFont="1" applyFill="1" applyBorder="1" applyAlignment="1">
      <alignment readingOrder="1"/>
    </xf>
    <xf numFmtId="0" fontId="13" fillId="11" borderId="47" xfId="0" applyFont="1" applyFill="1" applyBorder="1" applyAlignment="1">
      <alignment readingOrder="1"/>
    </xf>
    <xf numFmtId="0" fontId="13" fillId="11" borderId="35" xfId="0" applyFont="1" applyFill="1" applyBorder="1" applyAlignment="1">
      <alignment readingOrder="2"/>
    </xf>
    <xf numFmtId="0" fontId="13" fillId="11" borderId="33" xfId="0" applyFont="1" applyFill="1" applyBorder="1" applyAlignment="1">
      <alignment readingOrder="2"/>
    </xf>
    <xf numFmtId="0" fontId="16" fillId="11" borderId="13" xfId="0" applyFont="1" applyFill="1" applyBorder="1" applyAlignment="1">
      <alignment readingOrder="2"/>
    </xf>
    <xf numFmtId="0" fontId="13" fillId="11" borderId="48" xfId="0" applyFont="1" applyFill="1" applyBorder="1" applyAlignment="1">
      <alignment readingOrder="1"/>
    </xf>
    <xf numFmtId="0" fontId="13" fillId="11" borderId="34" xfId="0" applyFont="1" applyFill="1" applyBorder="1" applyAlignment="1">
      <alignment readingOrder="2"/>
    </xf>
    <xf numFmtId="0" fontId="13" fillId="12" borderId="3" xfId="0" applyFont="1" applyFill="1" applyBorder="1" applyAlignment="1">
      <alignment readingOrder="1"/>
    </xf>
    <xf numFmtId="0" fontId="15" fillId="12" borderId="49" xfId="0" applyFont="1" applyFill="1" applyBorder="1" applyAlignment="1">
      <alignment wrapText="1" readingOrder="2"/>
    </xf>
    <xf numFmtId="0" fontId="15" fillId="12" borderId="12" xfId="0" applyFont="1" applyFill="1" applyBorder="1" applyAlignment="1">
      <alignment wrapText="1" readingOrder="2"/>
    </xf>
    <xf numFmtId="0" fontId="15" fillId="12" borderId="50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readingOrder="2"/>
    </xf>
    <xf numFmtId="0" fontId="15" fillId="12" borderId="52" xfId="0" applyFont="1" applyFill="1" applyBorder="1" applyAlignment="1">
      <alignment readingOrder="2"/>
    </xf>
    <xf numFmtId="0" fontId="15" fillId="12" borderId="53" xfId="0" applyFont="1" applyFill="1" applyBorder="1" applyAlignment="1">
      <alignment readingOrder="1"/>
    </xf>
    <xf numFmtId="3" fontId="15" fillId="12" borderId="53" xfId="0" applyNumberFormat="1" applyFont="1" applyFill="1" applyBorder="1" applyAlignment="1">
      <alignment readingOrder="1"/>
    </xf>
    <xf numFmtId="3" fontId="15" fillId="12" borderId="54" xfId="0" applyNumberFormat="1" applyFont="1" applyFill="1" applyBorder="1" applyAlignment="1">
      <alignment readingOrder="1"/>
    </xf>
    <xf numFmtId="0" fontId="15" fillId="12" borderId="30" xfId="0" applyFont="1" applyFill="1" applyBorder="1" applyAlignment="1">
      <alignment readingOrder="1"/>
    </xf>
    <xf numFmtId="3" fontId="15" fillId="12" borderId="51" xfId="0" applyNumberFormat="1" applyFont="1" applyFill="1" applyBorder="1" applyAlignment="1">
      <alignment readingOrder="1"/>
    </xf>
    <xf numFmtId="0" fontId="13" fillId="10" borderId="13" xfId="0" applyFont="1" applyFill="1" applyBorder="1" applyAlignment="1">
      <alignment readingOrder="1"/>
    </xf>
    <xf numFmtId="0" fontId="15" fillId="12" borderId="39" xfId="0" applyFont="1" applyFill="1" applyBorder="1" applyAlignment="1">
      <alignment readingOrder="2"/>
    </xf>
    <xf numFmtId="0" fontId="13" fillId="12" borderId="49" xfId="0" applyFont="1" applyFill="1" applyBorder="1" applyAlignment="1">
      <alignment readingOrder="1"/>
    </xf>
    <xf numFmtId="3" fontId="15" fillId="12" borderId="49" xfId="0" applyNumberFormat="1" applyFont="1" applyFill="1" applyBorder="1" applyAlignment="1">
      <alignment readingOrder="1"/>
    </xf>
    <xf numFmtId="0" fontId="15" fillId="12" borderId="12" xfId="0" applyFont="1" applyFill="1" applyBorder="1" applyAlignment="1">
      <alignment wrapText="1" readingOrder="1"/>
    </xf>
    <xf numFmtId="3" fontId="15" fillId="12" borderId="12" xfId="0" applyNumberFormat="1" applyFont="1" applyFill="1" applyBorder="1" applyAlignment="1">
      <alignment wrapText="1" readingOrder="1"/>
    </xf>
    <xf numFmtId="3" fontId="15" fillId="12" borderId="55" xfId="0" applyNumberFormat="1" applyFont="1" applyFill="1" applyBorder="1" applyAlignment="1">
      <alignment readingOrder="1"/>
    </xf>
    <xf numFmtId="0" fontId="15" fillId="12" borderId="56" xfId="0" applyFont="1" applyFill="1" applyBorder="1" applyAlignment="1">
      <alignment readingOrder="1"/>
    </xf>
    <xf numFmtId="3" fontId="15" fillId="12" borderId="56" xfId="0" applyNumberFormat="1" applyFont="1" applyFill="1" applyBorder="1" applyAlignment="1">
      <alignment readingOrder="1"/>
    </xf>
    <xf numFmtId="0" fontId="17" fillId="12" borderId="37" xfId="0" applyFont="1" applyFill="1" applyBorder="1" applyAlignment="1">
      <alignment readingOrder="2"/>
    </xf>
    <xf numFmtId="0" fontId="17" fillId="12" borderId="31" xfId="0" applyFont="1" applyFill="1" applyBorder="1" applyAlignment="1">
      <alignment readingOrder="1"/>
    </xf>
    <xf numFmtId="0" fontId="17" fillId="12" borderId="53" xfId="0" applyFont="1" applyFill="1" applyBorder="1" applyAlignment="1">
      <alignment readingOrder="1"/>
    </xf>
    <xf numFmtId="0" fontId="17" fillId="12" borderId="30" xfId="0" applyFont="1" applyFill="1" applyBorder="1" applyAlignment="1">
      <alignment readingOrder="1"/>
    </xf>
    <xf numFmtId="0" fontId="17" fillId="12" borderId="57" xfId="0" applyFont="1" applyFill="1" applyBorder="1" applyAlignment="1">
      <alignment readingOrder="1"/>
    </xf>
    <xf numFmtId="0" fontId="13" fillId="10" borderId="0" xfId="0" applyFont="1" applyFill="1" applyAlignment="1">
      <alignment readingOrder="1"/>
    </xf>
    <xf numFmtId="0" fontId="15" fillId="0" borderId="0" xfId="0" applyFont="1" applyAlignment="1">
      <alignment readingOrder="2"/>
    </xf>
    <xf numFmtId="0" fontId="0" fillId="0" borderId="0" xfId="0" applyAlignment="1">
      <alignment horizontal="right" wrapText="1"/>
    </xf>
    <xf numFmtId="9" fontId="0" fillId="0" borderId="0" xfId="0" applyNumberFormat="1"/>
    <xf numFmtId="4" fontId="1" fillId="8" borderId="0" xfId="7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20" xfId="0" applyFont="1" applyBorder="1"/>
    <xf numFmtId="0" fontId="2" fillId="3" borderId="24" xfId="0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20" xfId="0" applyFont="1" applyBorder="1"/>
    <xf numFmtId="0" fontId="21" fillId="10" borderId="13" xfId="0" applyFont="1" applyFill="1" applyBorder="1" applyAlignment="1">
      <alignment readingOrder="1"/>
    </xf>
    <xf numFmtId="0" fontId="6" fillId="0" borderId="24" xfId="0" applyFont="1" applyBorder="1"/>
    <xf numFmtId="0" fontId="20" fillId="0" borderId="0" xfId="0" applyFont="1"/>
    <xf numFmtId="0" fontId="19" fillId="0" borderId="0" xfId="0" applyFont="1"/>
    <xf numFmtId="0" fontId="8" fillId="0" borderId="0" xfId="0" applyFont="1"/>
    <xf numFmtId="0" fontId="6" fillId="0" borderId="23" xfId="0" applyFont="1" applyBorder="1"/>
    <xf numFmtId="0" fontId="6" fillId="0" borderId="27" xfId="0" applyFont="1" applyBorder="1"/>
    <xf numFmtId="0" fontId="0" fillId="3" borderId="19" xfId="0" applyFill="1" applyBorder="1"/>
    <xf numFmtId="0" fontId="3" fillId="2" borderId="49" xfId="0" applyFont="1" applyFill="1" applyBorder="1"/>
    <xf numFmtId="0" fontId="3" fillId="2" borderId="59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9" borderId="60" xfId="0" applyFill="1" applyBorder="1"/>
    <xf numFmtId="0" fontId="6" fillId="0" borderId="25" xfId="0" applyFont="1" applyBorder="1"/>
    <xf numFmtId="14" fontId="1" fillId="8" borderId="0" xfId="7" applyNumberFormat="1"/>
    <xf numFmtId="0" fontId="6" fillId="0" borderId="60" xfId="0" applyFont="1" applyBorder="1"/>
    <xf numFmtId="0" fontId="0" fillId="0" borderId="0" xfId="0" applyAlignment="1">
      <alignment wrapText="1"/>
    </xf>
    <xf numFmtId="0" fontId="11" fillId="13" borderId="60" xfId="0" applyFont="1" applyFill="1" applyBorder="1"/>
    <xf numFmtId="0" fontId="11" fillId="13" borderId="0" xfId="0" applyFont="1" applyFill="1"/>
    <xf numFmtId="0" fontId="11" fillId="13" borderId="23" xfId="0" applyFont="1" applyFill="1" applyBorder="1"/>
    <xf numFmtId="4" fontId="19" fillId="0" borderId="0" xfId="0" applyNumberFormat="1" applyFont="1"/>
    <xf numFmtId="0" fontId="7" fillId="0" borderId="0" xfId="0" applyFont="1"/>
    <xf numFmtId="14" fontId="19" fillId="0" borderId="0" xfId="0" applyNumberFormat="1" applyFont="1"/>
    <xf numFmtId="14" fontId="0" fillId="0" borderId="0" xfId="0" applyNumberFormat="1" applyAlignment="1">
      <alignment readingOrder="1"/>
    </xf>
    <xf numFmtId="0" fontId="22" fillId="0" borderId="0" xfId="0" applyFont="1"/>
    <xf numFmtId="14" fontId="1" fillId="6" borderId="0" xfId="5" applyNumberFormat="1"/>
    <xf numFmtId="4" fontId="1" fillId="6" borderId="0" xfId="5" applyNumberFormat="1"/>
    <xf numFmtId="0" fontId="1" fillId="6" borderId="0" xfId="5"/>
    <xf numFmtId="14" fontId="1" fillId="7" borderId="0" xfId="6" applyNumberFormat="1" applyAlignment="1">
      <alignment readingOrder="1"/>
    </xf>
    <xf numFmtId="0" fontId="1" fillId="7" borderId="0" xfId="6" applyAlignment="1">
      <alignment readingOrder="2"/>
    </xf>
    <xf numFmtId="0" fontId="1" fillId="7" borderId="0" xfId="6" applyAlignment="1">
      <alignment readingOrder="1"/>
    </xf>
    <xf numFmtId="4" fontId="1" fillId="7" borderId="0" xfId="6" applyNumberFormat="1" applyAlignment="1">
      <alignment readingOrder="1"/>
    </xf>
    <xf numFmtId="0" fontId="0" fillId="0" borderId="11" xfId="0" applyBorder="1" applyAlignment="1">
      <alignment horizontal="right"/>
    </xf>
    <xf numFmtId="14" fontId="4" fillId="4" borderId="0" xfId="3" applyNumberFormat="1" applyAlignment="1">
      <alignment readingOrder="1"/>
    </xf>
    <xf numFmtId="0" fontId="4" fillId="4" borderId="0" xfId="3" applyAlignment="1">
      <alignment readingOrder="2"/>
    </xf>
    <xf numFmtId="0" fontId="4" fillId="4" borderId="0" xfId="3" applyAlignment="1">
      <alignment readingOrder="1"/>
    </xf>
    <xf numFmtId="4" fontId="4" fillId="4" borderId="0" xfId="3" applyNumberFormat="1" applyAlignment="1">
      <alignment readingOrder="1"/>
    </xf>
    <xf numFmtId="14" fontId="1" fillId="6" borderId="0" xfId="5" applyNumberFormat="1" applyAlignment="1">
      <alignment readingOrder="1"/>
    </xf>
    <xf numFmtId="0" fontId="1" fillId="6" borderId="0" xfId="5" applyAlignment="1">
      <alignment readingOrder="2"/>
    </xf>
    <xf numFmtId="0" fontId="1" fillId="6" borderId="0" xfId="5" applyAlignment="1">
      <alignment readingOrder="1"/>
    </xf>
    <xf numFmtId="4" fontId="1" fillId="6" borderId="0" xfId="5" applyNumberFormat="1" applyAlignment="1">
      <alignment readingOrder="1"/>
    </xf>
    <xf numFmtId="0" fontId="0" fillId="0" borderId="61" xfId="0" applyBorder="1"/>
    <xf numFmtId="0" fontId="0" fillId="0" borderId="0" xfId="0"/>
    <xf numFmtId="167" fontId="0" fillId="0" borderId="24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166" fontId="0" fillId="0" borderId="6" xfId="2" applyNumberFormat="1" applyFont="1" applyBorder="1"/>
    <xf numFmtId="165" fontId="0" fillId="0" borderId="0" xfId="0" applyNumberFormat="1"/>
    <xf numFmtId="168" fontId="0" fillId="0" borderId="0" xfId="8" applyNumberFormat="1" applyFont="1"/>
    <xf numFmtId="168" fontId="2" fillId="0" borderId="11" xfId="8" applyNumberFormat="1" applyFont="1" applyBorder="1"/>
    <xf numFmtId="168" fontId="2" fillId="0" borderId="12" xfId="8" applyNumberFormat="1" applyFont="1" applyBorder="1"/>
    <xf numFmtId="168" fontId="0" fillId="0" borderId="14" xfId="8" applyNumberFormat="1" applyFont="1" applyBorder="1"/>
    <xf numFmtId="168" fontId="2" fillId="0" borderId="17" xfId="8" applyNumberFormat="1" applyFont="1" applyBorder="1"/>
    <xf numFmtId="168" fontId="2" fillId="0" borderId="13" xfId="8" applyNumberFormat="1" applyFont="1" applyBorder="1"/>
    <xf numFmtId="168" fontId="2" fillId="0" borderId="15" xfId="8" applyNumberFormat="1" applyFont="1" applyBorder="1"/>
    <xf numFmtId="166" fontId="0" fillId="0" borderId="0" xfId="8" applyNumberFormat="1" applyFont="1"/>
    <xf numFmtId="168" fontId="0" fillId="3" borderId="18" xfId="8" applyNumberFormat="1" applyFont="1" applyFill="1" applyBorder="1"/>
    <xf numFmtId="168" fontId="2" fillId="3" borderId="19" xfId="8" applyNumberFormat="1" applyFont="1" applyFill="1" applyBorder="1"/>
    <xf numFmtId="168" fontId="2" fillId="3" borderId="1" xfId="8" applyNumberFormat="1" applyFont="1" applyFill="1" applyBorder="1"/>
    <xf numFmtId="169" fontId="0" fillId="0" borderId="0" xfId="8" applyFont="1"/>
    <xf numFmtId="169" fontId="2" fillId="0" borderId="0" xfId="8" applyFont="1"/>
    <xf numFmtId="164" fontId="0" fillId="0" borderId="0" xfId="0" applyNumberFormat="1"/>
    <xf numFmtId="169" fontId="2" fillId="0" borderId="0" xfId="0" applyNumberFormat="1" applyFont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26" xfId="0" applyBorder="1" applyAlignment="1">
      <alignment horizontal="center" vertical="center"/>
    </xf>
    <xf numFmtId="0" fontId="0" fillId="0" borderId="58" xfId="0" applyBorder="1" applyAlignment="1"/>
    <xf numFmtId="0" fontId="0" fillId="0" borderId="62" xfId="0" applyBorder="1" applyAlignment="1"/>
    <xf numFmtId="0" fontId="0" fillId="0" borderId="58" xfId="0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0" fillId="0" borderId="0" xfId="0" applyAlignment="1"/>
    <xf numFmtId="0" fontId="1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7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20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4" fillId="0" borderId="63" xfId="0" applyFont="1" applyBorder="1" applyAlignment="1">
      <alignment readingOrder="2"/>
    </xf>
    <xf numFmtId="0" fontId="0" fillId="0" borderId="30" xfId="0" applyBorder="1" applyAlignment="1"/>
    <xf numFmtId="0" fontId="0" fillId="0" borderId="31" xfId="0" applyBorder="1" applyAlignment="1"/>
    <xf numFmtId="0" fontId="13" fillId="0" borderId="38" xfId="0" applyFont="1" applyBorder="1" applyAlignment="1">
      <alignment readingOrder="1"/>
    </xf>
    <xf numFmtId="0" fontId="0" fillId="0" borderId="39" xfId="0" applyBorder="1" applyAlignment="1"/>
    <xf numFmtId="0" fontId="0" fillId="0" borderId="38" xfId="0" applyBorder="1" applyAlignment="1"/>
    <xf numFmtId="0" fontId="13" fillId="0" borderId="41" xfId="0" applyFont="1" applyBorder="1" applyAlignment="1">
      <alignment readingOrder="2"/>
    </xf>
    <xf numFmtId="0" fontId="0" fillId="0" borderId="12" xfId="0" applyBorder="1" applyAlignment="1"/>
    <xf numFmtId="0" fontId="0" fillId="0" borderId="41" xfId="0" applyBorder="1" applyAlignment="1"/>
    <xf numFmtId="0" fontId="15" fillId="0" borderId="63" xfId="0" applyFont="1" applyBorder="1" applyAlignment="1">
      <alignment readingOrder="2"/>
    </xf>
  </cellXfs>
  <cellStyles count="9">
    <cellStyle name="20% - Accent1" xfId="5" builtinId="30"/>
    <cellStyle name="20% - Accent2" xfId="6" builtinId="34"/>
    <cellStyle name="40% - Accent3" xfId="7" builtinId="39"/>
    <cellStyle name="Currency" xfId="8" builtinId="4"/>
    <cellStyle name="Good" xfId="3" builtinId="26"/>
    <cellStyle name="Neutral" xfId="4" builtinId="28"/>
    <cellStyle name="Normal" xfId="0" builtinId="0"/>
    <cellStyle name="Normal 2" xfId="1" xr:uid="{00000000-0005-0000-0000-000001000000}"/>
    <cellStyle name="Percent" xfId="2" builtinId="5"/>
  </cellStyles>
  <dxfs count="3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9" formatCode="_-&quot;₪&quot;* #,##0.00_-;\-&quot;₪&quot;* #,##0.00_-;_-&quot;₪&quot;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C-45FF-9C2A-517494D4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S66" totalsRowShown="0" headerRowDxfId="31" tableBorderDxfId="30">
  <autoFilter ref="B1:S66" xr:uid="{00000000-0009-0000-0100-000001000000}"/>
  <tableColumns count="18">
    <tableColumn id="1" xr3:uid="{00000000-0010-0000-0000-000001000000}" name="דירה" dataDxfId="29"/>
    <tableColumn id="2" xr3:uid="{00000000-0010-0000-0000-000002000000}" name="משפחה" dataDxfId="28"/>
    <tableColumn id="4" xr3:uid="{00000000-0010-0000-0000-000004000000}" name="בעל דירה" dataCellStyle="Normal"/>
    <tableColumn id="5" xr3:uid="{00000000-0010-0000-0000-000005000000}" name="ינואר" dataDxfId="27"/>
    <tableColumn id="6" xr3:uid="{00000000-0010-0000-0000-000006000000}" name="פברואר"/>
    <tableColumn id="7" xr3:uid="{00000000-0010-0000-0000-000007000000}" name="מרץ"/>
    <tableColumn id="9" xr3:uid="{00000000-0010-0000-0000-000009000000}" name="אפריל"/>
    <tableColumn id="10" xr3:uid="{00000000-0010-0000-0000-00000A000000}" name="מאי"/>
    <tableColumn id="11" xr3:uid="{00000000-0010-0000-0000-00000B000000}" name="יוני"/>
    <tableColumn id="13" xr3:uid="{00000000-0010-0000-0000-00000D000000}" name="יולי"/>
    <tableColumn id="14" xr3:uid="{00000000-0010-0000-0000-00000E000000}" name="אוגוסט"/>
    <tableColumn id="15" xr3:uid="{00000000-0010-0000-0000-00000F000000}" name="ספטמבר"/>
    <tableColumn id="16" xr3:uid="{00000000-0010-0000-0000-000010000000}" name="אוקטובר"/>
    <tableColumn id="17" xr3:uid="{00000000-0010-0000-0000-000011000000}" name="נובמבר"/>
    <tableColumn id="18" xr3:uid="{00000000-0010-0000-0000-000012000000}" name="דצמבר"/>
    <tableColumn id="12" xr3:uid="{00000000-0010-0000-0000-00000C000000}" name="קופה קטנה 2026"/>
    <tableColumn id="8" xr3:uid="{00000000-0010-0000-0000-000008000000}" name="הערות"/>
    <tableColumn id="19" xr3:uid="{00000000-0010-0000-0000-000013000000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20" totalsRowShown="0">
  <autoFilter ref="A1:O20" xr:uid="{00000000-0009-0000-0100-000002000000}"/>
  <tableColumns count="15">
    <tableColumn id="1" xr3:uid="{00000000-0010-0000-0100-000001000000}" name="הוצאה"/>
    <tableColumn id="2" xr3:uid="{00000000-0010-0000-0100-000002000000}" name="ינואר 25" dataDxfId="26" dataCellStyle="Currency"/>
    <tableColumn id="3" xr3:uid="{00000000-0010-0000-0100-000003000000}" name="פברואר 25" dataDxfId="25" dataCellStyle="Currency">
      <calculatedColumnFormula>25+24.75</calculatedColumnFormula>
    </tableColumn>
    <tableColumn id="4" xr3:uid="{00000000-0010-0000-0100-000004000000}" name="מרץ 25" dataDxfId="24" dataCellStyle="Currency">
      <calculatedColumnFormula>25+8.25</calculatedColumnFormula>
    </tableColumn>
    <tableColumn id="5" xr3:uid="{00000000-0010-0000-0100-000005000000}" name="אפריל 25" dataDxfId="23" dataCellStyle="Currency"/>
    <tableColumn id="6" xr3:uid="{00000000-0010-0000-0100-000006000000}" name="מאי 25" dataDxfId="22" dataCellStyle="Currency">
      <calculatedColumnFormula>25+21.5</calculatedColumnFormula>
    </tableColumn>
    <tableColumn id="7" xr3:uid="{00000000-0010-0000-0100-000007000000}" name="יוני 25" dataDxfId="21" dataCellStyle="Currency">
      <calculatedColumnFormula>25+16.5</calculatedColumnFormula>
    </tableColumn>
    <tableColumn id="8" xr3:uid="{00000000-0010-0000-0100-000008000000}" name="יולי 25" dataDxfId="20" dataCellStyle="Currency">
      <calculatedColumnFormula>25+23.1</calculatedColumnFormula>
    </tableColumn>
    <tableColumn id="9" xr3:uid="{00000000-0010-0000-0100-000009000000}" name="אוגוסט 25" dataDxfId="19" dataCellStyle="Currency"/>
    <tableColumn id="10" xr3:uid="{00000000-0010-0000-0100-00000A000000}" name="ספטמבר 25" dataDxfId="18" dataCellStyle="Currency"/>
    <tableColumn id="11" xr3:uid="{00000000-0010-0000-0100-00000B000000}" name="אוקטובר 25" dataDxfId="17" dataCellStyle="Currency">
      <calculatedColumnFormula>25+23.1</calculatedColumnFormula>
    </tableColumn>
    <tableColumn id="12" xr3:uid="{00000000-0010-0000-0100-00000C000000}" name="נובמבר 25" dataDxfId="16" dataCellStyle="Currency">
      <calculatedColumnFormula>25+11.55</calculatedColumnFormula>
    </tableColumn>
    <tableColumn id="13" xr3:uid="{00000000-0010-0000-0100-00000D000000}" name="דצמבר 25" dataDxfId="15" dataCellStyle="Currency">
      <calculatedColumnFormula>25+16.5</calculatedColumnFormula>
    </tableColumn>
    <tableColumn id="14" xr3:uid="{00000000-0010-0000-0100-00000E000000}" name="ממוצא חודשי" dataDxfId="14" dataCellStyle="Currency">
      <calculatedColumnFormula>AVERAGE(Table2[[#This Row],[ינואר 25]:[דצמבר 25]])</calculatedColumnFormula>
    </tableColumn>
    <tableColumn id="15" xr3:uid="{00000000-0010-0000-0100-00000F000000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43" totalsRowShown="0" dataDxfId="12" dataCellStyle="Currency">
  <autoFilter ref="A1:M43" xr:uid="{00000000-0009-0000-0100-000003000000}"/>
  <tableColumns count="13">
    <tableColumn id="1" xr3:uid="{00000000-0010-0000-0200-000001000000}" name="פריט"/>
    <tableColumn id="2" xr3:uid="{00000000-0010-0000-0200-000002000000}" name="ינואר" dataDxfId="11" dataCellStyle="Currency"/>
    <tableColumn id="3" xr3:uid="{00000000-0010-0000-0200-000003000000}" name="פברואר" dataDxfId="10" dataCellStyle="Currency"/>
    <tableColumn id="4" xr3:uid="{00000000-0010-0000-0200-000004000000}" name="מרץ" dataDxfId="9" dataCellStyle="Currency"/>
    <tableColumn id="5" xr3:uid="{00000000-0010-0000-0200-000005000000}" name="אפריל" dataDxfId="8" dataCellStyle="Currency"/>
    <tableColumn id="6" xr3:uid="{00000000-0010-0000-0200-000006000000}" name="מאי" dataDxfId="7" dataCellStyle="Currency"/>
    <tableColumn id="7" xr3:uid="{00000000-0010-0000-0200-000007000000}" name="יוני" dataDxfId="6" dataCellStyle="Currency"/>
    <tableColumn id="8" xr3:uid="{00000000-0010-0000-0200-000008000000}" name="יולי" dataDxfId="5" dataCellStyle="Currency"/>
    <tableColumn id="9" xr3:uid="{00000000-0010-0000-0200-000009000000}" name="אוגוסט" dataDxfId="4" dataCellStyle="Currency"/>
    <tableColumn id="10" xr3:uid="{00000000-0010-0000-0200-00000A000000}" name="ספטמבר" dataDxfId="3" dataCellStyle="Currency">
      <calculatedColumnFormula>300+360</calculatedColumnFormula>
    </tableColumn>
    <tableColumn id="11" xr3:uid="{00000000-0010-0000-0200-00000B000000}" name="אוקטובר" dataDxfId="2" dataCellStyle="Currency"/>
    <tableColumn id="12" xr3:uid="{00000000-0010-0000-0200-00000C000000}" name="נובמבר" dataDxfId="1" dataCellStyle="Currency"/>
    <tableColumn id="13" xr3:uid="{00000000-0010-0000-0200-00000D000000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rightToLeft="1" workbookViewId="0">
      <selection activeCell="W9" sqref="W9"/>
    </sheetView>
  </sheetViews>
  <sheetFormatPr defaultRowHeight="15"/>
  <cols>
    <col min="1" max="1" width="9.140625" style="24" customWidth="1"/>
    <col min="2" max="2" width="29.42578125" style="169" customWidth="1"/>
    <col min="3" max="3" width="16.5703125" style="30" customWidth="1"/>
    <col min="4" max="4" width="12.42578125" style="169" bestFit="1" customWidth="1"/>
    <col min="5" max="5" width="11.42578125" style="169" bestFit="1" customWidth="1"/>
    <col min="6" max="6" width="10.5703125" style="169" bestFit="1" customWidth="1"/>
    <col min="8" max="8" width="9.28515625" style="169" bestFit="1" customWidth="1"/>
    <col min="12" max="12" width="10.140625" style="169" bestFit="1" customWidth="1"/>
    <col min="13" max="13" width="11.7109375" style="169" bestFit="1" customWidth="1"/>
    <col min="14" max="14" width="11.5703125" style="169" bestFit="1" customWidth="1"/>
    <col min="17" max="17" width="18.7109375" style="169" bestFit="1" customWidth="1"/>
    <col min="18" max="18" width="36.5703125" style="169" bestFit="1" customWidth="1"/>
    <col min="24" max="24" width="36.5703125" style="169" bestFit="1" customWidth="1"/>
    <col min="25" max="25" width="17" style="169" bestFit="1" customWidth="1"/>
  </cols>
  <sheetData>
    <row r="1" spans="1:25">
      <c r="A1" s="43" t="s">
        <v>0</v>
      </c>
      <c r="B1" s="25" t="s">
        <v>1</v>
      </c>
      <c r="C1" s="26" t="s">
        <v>2</v>
      </c>
      <c r="D1" s="25" t="s">
        <v>3</v>
      </c>
      <c r="E1" s="135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8" t="s">
        <v>15</v>
      </c>
      <c r="Q1" s="25" t="s">
        <v>16</v>
      </c>
      <c r="R1" s="134" t="s">
        <v>17</v>
      </c>
      <c r="S1" s="134" t="s">
        <v>18</v>
      </c>
      <c r="T1" s="169"/>
      <c r="U1" s="169"/>
      <c r="V1" s="169"/>
      <c r="W1" s="169"/>
      <c r="X1" s="151" t="s">
        <v>19</v>
      </c>
    </row>
    <row r="2" spans="1:25">
      <c r="A2" s="192">
        <v>1</v>
      </c>
      <c r="B2" s="39">
        <v>1</v>
      </c>
      <c r="C2" s="40" t="s">
        <v>20</v>
      </c>
      <c r="D2" s="41"/>
      <c r="E2" s="136">
        <v>350</v>
      </c>
      <c r="F2" s="41">
        <v>350</v>
      </c>
      <c r="G2" s="41">
        <v>350</v>
      </c>
      <c r="H2" s="41">
        <v>350</v>
      </c>
      <c r="I2" s="41"/>
      <c r="J2" s="41"/>
      <c r="K2" s="41"/>
      <c r="L2" s="41"/>
      <c r="M2" s="41"/>
      <c r="N2" s="41"/>
      <c r="O2" s="41"/>
      <c r="P2" s="42"/>
      <c r="Q2" s="169">
        <v>500</v>
      </c>
      <c r="S2" s="41"/>
      <c r="T2" s="169"/>
      <c r="U2" s="169"/>
      <c r="V2" s="169"/>
      <c r="W2" s="169"/>
      <c r="X2" s="169" t="str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s="169" t="str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194"/>
      <c r="B3" s="116">
        <v>2</v>
      </c>
      <c r="C3" s="30" t="s">
        <v>21</v>
      </c>
      <c r="E3" s="137">
        <v>350</v>
      </c>
      <c r="F3" s="169">
        <v>350</v>
      </c>
      <c r="G3" s="169">
        <v>350</v>
      </c>
      <c r="H3" s="169">
        <v>350</v>
      </c>
      <c r="I3" s="169"/>
      <c r="J3" s="169"/>
      <c r="K3" s="169"/>
      <c r="O3" s="169"/>
      <c r="P3" s="29"/>
      <c r="S3" s="169"/>
      <c r="T3" s="169"/>
      <c r="U3" s="169"/>
      <c r="V3" s="169"/>
      <c r="W3" s="169"/>
      <c r="X3" s="169" t="str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מאי (חוב 350)</v>
      </c>
    </row>
    <row r="4" spans="1:25">
      <c r="A4" s="193"/>
      <c r="B4" s="37">
        <v>3</v>
      </c>
      <c r="C4" s="30" t="s">
        <v>22</v>
      </c>
      <c r="E4" s="137">
        <v>350</v>
      </c>
      <c r="F4" s="169">
        <v>350</v>
      </c>
      <c r="G4" s="169">
        <v>350</v>
      </c>
      <c r="H4" s="169">
        <v>350</v>
      </c>
      <c r="I4" s="169"/>
      <c r="J4" s="169"/>
      <c r="K4" s="169"/>
      <c r="O4" s="33"/>
      <c r="P4" s="29"/>
      <c r="Q4" s="169">
        <v>500</v>
      </c>
      <c r="S4" s="169"/>
      <c r="T4" s="169"/>
      <c r="U4" s="169"/>
      <c r="V4" s="169"/>
      <c r="W4" s="169"/>
      <c r="X4" s="169" t="str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192">
        <v>2</v>
      </c>
      <c r="B5" s="44">
        <v>4</v>
      </c>
      <c r="C5" s="40" t="s">
        <v>23</v>
      </c>
      <c r="D5" s="41"/>
      <c r="E5" s="136">
        <v>350</v>
      </c>
      <c r="F5" s="41">
        <v>350</v>
      </c>
      <c r="G5" s="41">
        <v>350</v>
      </c>
      <c r="H5" s="41">
        <v>350</v>
      </c>
      <c r="I5" s="41"/>
      <c r="J5" s="41"/>
      <c r="K5" s="41"/>
      <c r="L5" s="41"/>
      <c r="M5" s="41"/>
      <c r="N5" s="41"/>
      <c r="O5" s="42"/>
      <c r="P5" s="42"/>
      <c r="S5" s="41"/>
      <c r="T5" s="169"/>
      <c r="U5" s="169"/>
      <c r="V5" s="169"/>
      <c r="W5" s="169"/>
      <c r="X5" s="169" t="str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194"/>
      <c r="B6" s="37">
        <v>5</v>
      </c>
      <c r="C6" s="30" t="s">
        <v>24</v>
      </c>
      <c r="D6" s="169" t="s">
        <v>25</v>
      </c>
      <c r="E6" s="137">
        <v>350</v>
      </c>
      <c r="F6" s="169">
        <v>350</v>
      </c>
      <c r="G6" s="169">
        <v>350</v>
      </c>
      <c r="H6" s="169">
        <v>350</v>
      </c>
      <c r="I6" s="169"/>
      <c r="J6" s="169"/>
      <c r="K6" s="169"/>
      <c r="O6" s="169"/>
      <c r="P6" s="29"/>
      <c r="Q6" s="169">
        <v>500</v>
      </c>
      <c r="S6" s="169">
        <v>4816413</v>
      </c>
      <c r="T6" s="169"/>
      <c r="U6" s="169"/>
      <c r="V6" s="169"/>
      <c r="W6" s="169"/>
      <c r="X6" s="169" t="str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s="169" t="str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194"/>
      <c r="B7" s="116">
        <v>6</v>
      </c>
      <c r="C7" s="30" t="s">
        <v>26</v>
      </c>
      <c r="E7" s="137">
        <v>350</v>
      </c>
      <c r="F7" s="169">
        <v>350</v>
      </c>
      <c r="G7" s="169">
        <v>350</v>
      </c>
      <c r="H7" s="169">
        <v>350</v>
      </c>
      <c r="I7" s="169"/>
      <c r="J7" s="169"/>
      <c r="K7" s="169"/>
      <c r="O7" s="169"/>
      <c r="P7" s="29"/>
      <c r="Q7" s="169">
        <v>500</v>
      </c>
      <c r="S7" s="169">
        <v>4177034</v>
      </c>
      <c r="T7" s="169"/>
      <c r="U7" s="169"/>
      <c r="V7" s="169"/>
      <c r="W7" s="169"/>
      <c r="X7" s="169" t="str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194"/>
      <c r="B8" s="37">
        <v>7</v>
      </c>
      <c r="C8" s="30" t="s">
        <v>27</v>
      </c>
      <c r="E8" s="137">
        <v>350</v>
      </c>
      <c r="F8" s="169">
        <v>350</v>
      </c>
      <c r="G8" s="169">
        <v>350</v>
      </c>
      <c r="H8" s="169">
        <v>350</v>
      </c>
      <c r="I8" s="169"/>
      <c r="J8" s="169"/>
      <c r="K8" s="169"/>
      <c r="O8" s="169"/>
      <c r="P8" s="29"/>
      <c r="Q8" s="169">
        <v>500</v>
      </c>
      <c r="S8" s="169"/>
      <c r="T8" s="169"/>
      <c r="U8" s="169"/>
      <c r="V8" s="169"/>
      <c r="W8" s="169"/>
      <c r="X8" s="169" t="str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193"/>
      <c r="B9" s="116">
        <v>8</v>
      </c>
      <c r="C9" s="30" t="s">
        <v>28</v>
      </c>
      <c r="E9" s="137">
        <v>350</v>
      </c>
      <c r="F9" s="169">
        <v>350</v>
      </c>
      <c r="G9" s="169">
        <v>350</v>
      </c>
      <c r="H9" s="169">
        <v>350</v>
      </c>
      <c r="I9" s="169"/>
      <c r="J9" s="169"/>
      <c r="K9" s="169"/>
      <c r="O9" s="29"/>
      <c r="P9" s="29"/>
      <c r="S9" s="169"/>
      <c r="T9" s="169"/>
      <c r="U9" s="169"/>
      <c r="V9" s="169"/>
      <c r="W9" s="169"/>
      <c r="X9" s="169" t="str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192">
        <v>3</v>
      </c>
      <c r="B10" s="39">
        <v>9</v>
      </c>
      <c r="C10" s="40" t="s">
        <v>29</v>
      </c>
      <c r="D10" s="41"/>
      <c r="E10" s="136">
        <v>350</v>
      </c>
      <c r="F10" s="41">
        <v>350</v>
      </c>
      <c r="G10" s="41">
        <v>350</v>
      </c>
      <c r="H10" s="41">
        <v>350</v>
      </c>
      <c r="I10" s="41"/>
      <c r="J10" s="41"/>
      <c r="K10" s="41"/>
      <c r="L10" s="41"/>
      <c r="M10" s="41"/>
      <c r="N10" s="41"/>
      <c r="O10" s="41"/>
      <c r="P10" s="42"/>
      <c r="S10" s="41"/>
      <c r="T10" s="169"/>
      <c r="U10" s="169"/>
      <c r="V10" s="169"/>
      <c r="W10" s="169"/>
      <c r="X10" s="169" t="str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194"/>
      <c r="B11" s="116">
        <v>10</v>
      </c>
      <c r="C11" s="30" t="s">
        <v>30</v>
      </c>
      <c r="E11" s="137">
        <v>350</v>
      </c>
      <c r="F11" s="169">
        <v>350</v>
      </c>
      <c r="G11" s="169">
        <v>350</v>
      </c>
      <c r="H11" s="169">
        <v>350</v>
      </c>
      <c r="I11" s="169"/>
      <c r="J11" s="169"/>
      <c r="K11" s="169"/>
      <c r="O11" s="169"/>
      <c r="P11" s="29"/>
      <c r="S11" s="169">
        <v>4590840</v>
      </c>
      <c r="T11" s="169"/>
      <c r="U11" s="169"/>
      <c r="V11" s="169"/>
      <c r="W11" s="169"/>
      <c r="X11" s="169" t="str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194"/>
      <c r="B12" s="37">
        <v>11</v>
      </c>
      <c r="C12" s="30" t="s">
        <v>31</v>
      </c>
      <c r="E12" s="137">
        <v>350</v>
      </c>
      <c r="F12" s="169">
        <v>350</v>
      </c>
      <c r="G12" s="169">
        <v>350</v>
      </c>
      <c r="H12" s="169">
        <v>350</v>
      </c>
      <c r="I12" s="169"/>
      <c r="J12" s="169"/>
      <c r="K12" s="169"/>
      <c r="O12" s="169"/>
      <c r="P12" s="29"/>
      <c r="Q12" s="169">
        <v>500</v>
      </c>
      <c r="S12" s="117">
        <v>4795693</v>
      </c>
      <c r="T12" s="169"/>
      <c r="U12" s="169"/>
      <c r="V12" s="169"/>
      <c r="W12" s="169"/>
      <c r="X12" s="169" t="str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194"/>
      <c r="B13" s="116">
        <v>12</v>
      </c>
      <c r="C13" s="30" t="s">
        <v>32</v>
      </c>
      <c r="E13" s="137">
        <v>350</v>
      </c>
      <c r="F13" s="169">
        <v>350</v>
      </c>
      <c r="G13" s="169">
        <v>350</v>
      </c>
      <c r="H13" s="169">
        <v>350</v>
      </c>
      <c r="I13" s="169">
        <v>30</v>
      </c>
      <c r="J13" s="169">
        <v>30</v>
      </c>
      <c r="K13" s="169">
        <v>30</v>
      </c>
      <c r="L13" s="169">
        <v>30</v>
      </c>
      <c r="M13" s="169">
        <v>30</v>
      </c>
      <c r="N13" s="169">
        <v>30</v>
      </c>
      <c r="O13" s="169">
        <v>30</v>
      </c>
      <c r="P13" s="29">
        <v>30</v>
      </c>
      <c r="Q13" s="169">
        <v>500</v>
      </c>
      <c r="S13" s="169"/>
      <c r="T13" s="169"/>
      <c r="U13" s="169"/>
      <c r="V13" s="169"/>
      <c r="W13" s="169"/>
      <c r="X13" s="169" t="str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193"/>
      <c r="B14" s="37">
        <v>13</v>
      </c>
      <c r="C14" s="30" t="s">
        <v>33</v>
      </c>
      <c r="E14" s="137">
        <v>350</v>
      </c>
      <c r="F14" s="169">
        <v>350</v>
      </c>
      <c r="G14" s="169">
        <v>350</v>
      </c>
      <c r="H14" s="169">
        <v>350</v>
      </c>
      <c r="I14" s="169"/>
      <c r="J14" s="169"/>
      <c r="K14" s="169"/>
      <c r="O14" s="169"/>
      <c r="P14" s="29"/>
      <c r="S14" s="169"/>
      <c r="T14" s="169"/>
      <c r="U14" s="169"/>
      <c r="V14" s="169"/>
      <c r="W14" s="169"/>
      <c r="X14" s="169" t="str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192">
        <v>4</v>
      </c>
      <c r="B15" s="44">
        <v>14</v>
      </c>
      <c r="C15" s="40" t="s">
        <v>34</v>
      </c>
      <c r="D15" s="41" t="s">
        <v>35</v>
      </c>
      <c r="E15" s="136">
        <v>350</v>
      </c>
      <c r="F15" s="41">
        <v>350</v>
      </c>
      <c r="G15" s="41">
        <v>350</v>
      </c>
      <c r="H15" s="41">
        <v>350</v>
      </c>
      <c r="I15" s="41"/>
      <c r="J15" s="41"/>
      <c r="K15" s="41"/>
      <c r="L15" s="41"/>
      <c r="M15" s="41"/>
      <c r="N15" s="41"/>
      <c r="O15" s="41"/>
      <c r="P15" s="42"/>
      <c r="S15" s="41"/>
      <c r="T15" s="169"/>
      <c r="U15" s="169"/>
      <c r="V15" s="169"/>
      <c r="W15" s="169"/>
      <c r="X15" s="169" t="str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מאי (חוב 350)</v>
      </c>
    </row>
    <row r="16" spans="1:25">
      <c r="A16" s="194"/>
      <c r="B16" s="37">
        <v>15</v>
      </c>
      <c r="C16" s="30" t="s">
        <v>36</v>
      </c>
      <c r="E16" s="137">
        <v>350</v>
      </c>
      <c r="F16" s="169">
        <v>350</v>
      </c>
      <c r="G16" s="169">
        <v>350</v>
      </c>
      <c r="H16" s="169">
        <v>350</v>
      </c>
      <c r="I16" s="169"/>
      <c r="J16" s="169"/>
      <c r="K16" s="169"/>
      <c r="O16" s="169"/>
      <c r="P16" s="29"/>
      <c r="Q16" s="169">
        <v>500</v>
      </c>
      <c r="S16" s="169"/>
      <c r="T16" s="169"/>
      <c r="U16" s="169"/>
      <c r="V16" s="169"/>
      <c r="W16" s="169"/>
      <c r="X16" s="169" t="str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194"/>
      <c r="B17" s="116">
        <v>16</v>
      </c>
      <c r="C17" s="30" t="s">
        <v>37</v>
      </c>
      <c r="E17" s="137">
        <v>350</v>
      </c>
      <c r="F17" s="169">
        <v>350</v>
      </c>
      <c r="G17" s="169">
        <v>350</v>
      </c>
      <c r="H17" s="169">
        <v>350</v>
      </c>
      <c r="I17" s="169"/>
      <c r="J17" s="169"/>
      <c r="K17" s="169"/>
      <c r="O17" s="169"/>
      <c r="P17" s="29"/>
      <c r="Q17" s="169">
        <v>500</v>
      </c>
      <c r="S17" s="169"/>
      <c r="T17" s="169"/>
      <c r="U17" s="169"/>
      <c r="V17" s="169"/>
      <c r="W17" s="169"/>
      <c r="X17" s="169" t="str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194"/>
      <c r="B18" s="116">
        <v>17</v>
      </c>
      <c r="C18" s="30" t="s">
        <v>38</v>
      </c>
      <c r="E18" s="137">
        <v>350</v>
      </c>
      <c r="F18" s="169">
        <v>350</v>
      </c>
      <c r="G18" s="169">
        <v>350</v>
      </c>
      <c r="H18" s="169">
        <v>350</v>
      </c>
      <c r="I18" s="169"/>
      <c r="J18" s="169"/>
      <c r="K18" s="169"/>
      <c r="O18" s="124"/>
      <c r="P18" s="131"/>
      <c r="Q18" s="169">
        <v>500</v>
      </c>
      <c r="S18" s="169"/>
      <c r="T18" s="169"/>
      <c r="U18" s="169"/>
      <c r="V18" s="169"/>
      <c r="W18" s="169"/>
      <c r="X18" s="169" t="str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מאי (חוב 350)</v>
      </c>
    </row>
    <row r="19" spans="1:24">
      <c r="A19" s="193"/>
      <c r="B19" s="116">
        <v>18</v>
      </c>
      <c r="C19" s="30" t="s">
        <v>39</v>
      </c>
      <c r="D19" s="169" t="s">
        <v>40</v>
      </c>
      <c r="E19" s="137">
        <v>350</v>
      </c>
      <c r="F19" s="169">
        <v>350</v>
      </c>
      <c r="G19" s="169">
        <v>350</v>
      </c>
      <c r="H19" s="169">
        <v>350</v>
      </c>
      <c r="I19" s="169"/>
      <c r="J19" s="169"/>
      <c r="K19" s="169"/>
      <c r="O19" s="29"/>
      <c r="P19" s="29"/>
      <c r="Q19" s="169">
        <v>500</v>
      </c>
      <c r="S19" s="169"/>
      <c r="T19" s="169"/>
      <c r="U19" s="169"/>
      <c r="V19" s="169"/>
      <c r="W19" s="169"/>
      <c r="X19" s="169" t="str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מאי (חוב 350)</v>
      </c>
    </row>
    <row r="20" spans="1:24">
      <c r="A20" s="192">
        <v>5</v>
      </c>
      <c r="B20" s="44">
        <v>19</v>
      </c>
      <c r="C20" s="40" t="s">
        <v>41</v>
      </c>
      <c r="D20" s="41"/>
      <c r="E20" s="138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169">
        <v>350</v>
      </c>
      <c r="S20" s="41"/>
      <c r="T20" s="169"/>
      <c r="U20" s="169"/>
      <c r="V20" s="169"/>
      <c r="W20" s="169"/>
      <c r="X20" s="169" t="str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194"/>
      <c r="B21" s="116">
        <v>20</v>
      </c>
      <c r="C21" s="30" t="s">
        <v>42</v>
      </c>
      <c r="E21" s="137">
        <v>350</v>
      </c>
      <c r="F21" s="169">
        <v>350</v>
      </c>
      <c r="G21" s="169">
        <v>350</v>
      </c>
      <c r="H21" s="169">
        <v>350</v>
      </c>
      <c r="I21" s="169"/>
      <c r="J21" s="169"/>
      <c r="K21" s="169"/>
      <c r="O21" s="169"/>
      <c r="P21" s="29"/>
      <c r="S21" s="169"/>
      <c r="T21" s="169"/>
      <c r="U21" s="169"/>
      <c r="V21" s="169"/>
      <c r="W21" s="169"/>
      <c r="X21" s="169" t="str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194"/>
      <c r="B22" s="116">
        <v>21</v>
      </c>
      <c r="C22" s="30" t="s">
        <v>43</v>
      </c>
      <c r="E22" s="137">
        <v>350</v>
      </c>
      <c r="F22" s="169">
        <v>350</v>
      </c>
      <c r="G22" s="169">
        <v>350</v>
      </c>
      <c r="H22" s="169">
        <v>350</v>
      </c>
      <c r="I22" s="169"/>
      <c r="J22" s="169"/>
      <c r="K22" s="169"/>
      <c r="O22" s="169"/>
      <c r="P22" s="29"/>
      <c r="Q22" s="169">
        <v>500</v>
      </c>
      <c r="S22" s="169"/>
      <c r="T22" s="169"/>
      <c r="U22" s="169"/>
      <c r="V22" s="169"/>
      <c r="W22" s="169"/>
      <c r="X22" s="169" t="str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194"/>
      <c r="B23" s="116">
        <v>22</v>
      </c>
      <c r="C23" s="30" t="s">
        <v>44</v>
      </c>
      <c r="E23" s="137">
        <v>350</v>
      </c>
      <c r="F23" s="169">
        <v>350</v>
      </c>
      <c r="G23" s="169">
        <v>350</v>
      </c>
      <c r="H23" s="169">
        <v>350</v>
      </c>
      <c r="I23" s="169"/>
      <c r="J23" s="169"/>
      <c r="K23" s="169"/>
      <c r="O23" s="169"/>
      <c r="P23" s="29"/>
      <c r="Q23" s="169">
        <v>200</v>
      </c>
      <c r="S23" s="169"/>
      <c r="T23" s="169"/>
      <c r="U23" s="169"/>
      <c r="V23" s="169"/>
      <c r="W23" s="169"/>
      <c r="X23" s="169" t="str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193"/>
      <c r="B24" s="116">
        <v>23</v>
      </c>
      <c r="C24" s="30" t="s">
        <v>45</v>
      </c>
      <c r="E24" s="137">
        <v>350</v>
      </c>
      <c r="F24" s="169">
        <v>350</v>
      </c>
      <c r="G24" s="169">
        <v>350</v>
      </c>
      <c r="H24" s="169">
        <v>350</v>
      </c>
      <c r="I24" s="169"/>
      <c r="J24" s="169"/>
      <c r="K24" s="169"/>
      <c r="O24" s="169"/>
      <c r="P24" s="29"/>
      <c r="Q24" s="169">
        <v>500</v>
      </c>
      <c r="S24" s="169"/>
      <c r="T24" s="169"/>
      <c r="U24" s="169"/>
      <c r="V24" s="169"/>
      <c r="W24" s="169"/>
      <c r="X24" s="169" t="str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192">
        <v>6</v>
      </c>
      <c r="B25" s="44">
        <v>24</v>
      </c>
      <c r="C25" s="40" t="s">
        <v>46</v>
      </c>
      <c r="D25" s="41"/>
      <c r="E25" s="136">
        <v>350</v>
      </c>
      <c r="F25" s="41">
        <v>350</v>
      </c>
      <c r="G25" s="41">
        <v>350</v>
      </c>
      <c r="H25" s="41">
        <v>350</v>
      </c>
      <c r="I25" s="41"/>
      <c r="J25" s="41"/>
      <c r="K25" s="41"/>
      <c r="L25" s="41"/>
      <c r="M25" s="41"/>
      <c r="N25" s="41"/>
      <c r="O25" s="41"/>
      <c r="P25" s="42"/>
      <c r="Q25" s="169">
        <v>500</v>
      </c>
      <c r="S25" s="41"/>
      <c r="T25" s="169"/>
      <c r="U25" s="169"/>
      <c r="V25" s="169"/>
      <c r="W25" s="169"/>
      <c r="X25" s="169" t="str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 customHeight="1">
      <c r="A26" s="194"/>
      <c r="B26" s="116">
        <v>25</v>
      </c>
      <c r="C26" s="113" t="s">
        <v>47</v>
      </c>
      <c r="D26" s="169" t="s">
        <v>48</v>
      </c>
      <c r="E26" s="137">
        <v>350</v>
      </c>
      <c r="F26" s="169">
        <v>350</v>
      </c>
      <c r="G26" s="169">
        <v>350</v>
      </c>
      <c r="H26" s="33">
        <v>350</v>
      </c>
      <c r="I26" s="169"/>
      <c r="J26" s="169"/>
      <c r="K26" s="169"/>
      <c r="O26" s="169"/>
      <c r="P26" s="29"/>
      <c r="Q26" s="169">
        <v>500</v>
      </c>
      <c r="S26" s="169"/>
      <c r="T26" s="169"/>
      <c r="U26" s="169"/>
      <c r="V26" s="169"/>
      <c r="W26" s="169"/>
      <c r="X26" s="169" t="str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194"/>
      <c r="B27" s="116">
        <v>26</v>
      </c>
      <c r="C27" s="30" t="s">
        <v>49</v>
      </c>
      <c r="E27" s="139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169">
        <v>500</v>
      </c>
      <c r="S27" s="169"/>
      <c r="T27" s="169"/>
      <c r="U27" s="169"/>
      <c r="V27" s="169"/>
      <c r="W27" s="169"/>
      <c r="X27" s="169" t="str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194"/>
      <c r="B28" s="116">
        <v>27</v>
      </c>
      <c r="C28" s="30" t="s">
        <v>50</v>
      </c>
      <c r="E28" s="137">
        <v>350</v>
      </c>
      <c r="F28" s="169">
        <v>350</v>
      </c>
      <c r="G28" s="169">
        <v>350</v>
      </c>
      <c r="H28" s="169">
        <v>350</v>
      </c>
      <c r="I28" s="169"/>
      <c r="J28" s="169"/>
      <c r="K28" s="169"/>
      <c r="O28" s="169"/>
      <c r="P28" s="29"/>
      <c r="Q28" s="169">
        <v>500</v>
      </c>
      <c r="S28" s="169">
        <v>4696863</v>
      </c>
      <c r="T28" s="169"/>
      <c r="U28" s="169"/>
      <c r="V28" s="169"/>
      <c r="W28" s="169"/>
      <c r="X28" s="169" t="str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193"/>
      <c r="B29" s="116">
        <v>28</v>
      </c>
      <c r="C29" s="30" t="s">
        <v>51</v>
      </c>
      <c r="E29" s="137">
        <v>350</v>
      </c>
      <c r="F29" s="169">
        <v>350</v>
      </c>
      <c r="G29" s="169">
        <v>350</v>
      </c>
      <c r="H29" s="169">
        <v>350</v>
      </c>
      <c r="I29" s="169"/>
      <c r="J29" s="169"/>
      <c r="K29" s="169"/>
      <c r="O29" s="33"/>
      <c r="P29" s="29"/>
      <c r="Q29" s="169">
        <v>500</v>
      </c>
      <c r="S29" s="117">
        <v>4832180</v>
      </c>
      <c r="T29" s="169"/>
      <c r="U29" s="169"/>
      <c r="V29" s="169"/>
      <c r="W29" s="169"/>
      <c r="X29" s="169" t="str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192">
        <v>7</v>
      </c>
      <c r="B30" s="44">
        <v>29</v>
      </c>
      <c r="C30" s="40" t="s">
        <v>52</v>
      </c>
      <c r="D30" s="41" t="s">
        <v>53</v>
      </c>
      <c r="E30" s="136">
        <v>350</v>
      </c>
      <c r="F30" s="41">
        <v>350</v>
      </c>
      <c r="G30" s="41">
        <v>350</v>
      </c>
      <c r="H30" s="41">
        <v>350</v>
      </c>
      <c r="I30" s="41">
        <v>350</v>
      </c>
      <c r="J30" s="41">
        <v>350</v>
      </c>
      <c r="K30" s="41"/>
      <c r="L30" s="41"/>
      <c r="M30" s="41"/>
      <c r="N30" s="41"/>
      <c r="O30" s="125"/>
      <c r="P30" s="132"/>
      <c r="Q30" s="169">
        <v>500</v>
      </c>
      <c r="S30" s="41"/>
      <c r="T30" s="169"/>
      <c r="U30" s="169"/>
      <c r="V30" s="169"/>
      <c r="W30" s="169"/>
      <c r="X30" s="169" t="str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194"/>
      <c r="B31" s="116">
        <v>30</v>
      </c>
      <c r="C31" s="30" t="s">
        <v>54</v>
      </c>
      <c r="E31" s="137">
        <v>350</v>
      </c>
      <c r="F31" s="169">
        <v>350</v>
      </c>
      <c r="G31" s="169">
        <v>350</v>
      </c>
      <c r="H31" s="169">
        <v>350</v>
      </c>
      <c r="I31" s="169"/>
      <c r="J31" s="169"/>
      <c r="K31" s="169"/>
      <c r="O31" s="124"/>
      <c r="P31" s="131"/>
      <c r="Q31" s="169">
        <v>500</v>
      </c>
      <c r="S31" s="169"/>
      <c r="T31" s="169"/>
      <c r="U31" s="169"/>
      <c r="V31" s="169"/>
      <c r="W31" s="169"/>
      <c r="X31" s="169" t="str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194"/>
      <c r="B32" s="116">
        <v>31</v>
      </c>
      <c r="C32" s="30" t="s">
        <v>55</v>
      </c>
      <c r="E32" s="137">
        <v>350</v>
      </c>
      <c r="F32" s="169">
        <v>350</v>
      </c>
      <c r="G32" s="169">
        <v>350</v>
      </c>
      <c r="H32" s="169">
        <v>350</v>
      </c>
      <c r="I32" s="169"/>
      <c r="J32" s="169"/>
      <c r="K32" s="169"/>
      <c r="O32" s="169"/>
      <c r="P32" s="29"/>
      <c r="Q32" s="169">
        <v>500</v>
      </c>
      <c r="S32" s="169"/>
      <c r="T32" s="169"/>
      <c r="U32" s="169"/>
      <c r="V32" s="169"/>
      <c r="W32" s="169"/>
      <c r="X32" s="169" t="str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194"/>
      <c r="B33" s="116">
        <v>32</v>
      </c>
      <c r="C33" s="30" t="s">
        <v>56</v>
      </c>
      <c r="E33" s="137">
        <v>350</v>
      </c>
      <c r="F33" s="169">
        <v>350</v>
      </c>
      <c r="G33" s="169">
        <v>350</v>
      </c>
      <c r="H33" s="169">
        <v>350</v>
      </c>
      <c r="I33" s="169"/>
      <c r="J33" s="169"/>
      <c r="K33" s="169"/>
      <c r="O33" s="169"/>
      <c r="P33" s="29"/>
      <c r="Q33" s="169">
        <v>500</v>
      </c>
      <c r="S33" s="169">
        <v>4684245</v>
      </c>
      <c r="T33" s="169"/>
      <c r="U33" s="169"/>
      <c r="V33" s="169"/>
      <c r="W33" s="169"/>
      <c r="X33" s="169" t="str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193"/>
      <c r="B34" s="116">
        <v>33</v>
      </c>
      <c r="C34" s="30" t="s">
        <v>57</v>
      </c>
      <c r="E34" s="139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69">
        <v>500</v>
      </c>
      <c r="S34" s="169"/>
      <c r="T34" s="169"/>
      <c r="U34" s="169"/>
      <c r="V34" s="169"/>
      <c r="W34" s="169"/>
      <c r="X34" s="169" t="str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192">
        <v>8</v>
      </c>
      <c r="B35" s="44">
        <v>34</v>
      </c>
      <c r="C35" s="40" t="s">
        <v>58</v>
      </c>
      <c r="D35" s="41"/>
      <c r="E35" s="136">
        <v>350</v>
      </c>
      <c r="F35" s="41">
        <v>350</v>
      </c>
      <c r="G35" s="41">
        <v>350</v>
      </c>
      <c r="H35" s="41">
        <v>350</v>
      </c>
      <c r="I35" s="41"/>
      <c r="J35" s="41"/>
      <c r="K35" s="41"/>
      <c r="L35" s="41"/>
      <c r="M35" s="41"/>
      <c r="N35" s="41"/>
      <c r="O35" s="41"/>
      <c r="P35" s="42"/>
      <c r="Q35" s="169">
        <v>500</v>
      </c>
      <c r="S35" s="41"/>
      <c r="T35" s="169"/>
      <c r="U35" s="169"/>
      <c r="V35" s="169"/>
      <c r="W35" s="169"/>
      <c r="X35" s="169" t="str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194"/>
      <c r="B36" s="116">
        <v>35</v>
      </c>
      <c r="C36" s="30" t="s">
        <v>59</v>
      </c>
      <c r="E36" s="137">
        <v>350</v>
      </c>
      <c r="F36" s="169">
        <v>350</v>
      </c>
      <c r="G36" s="169">
        <v>350</v>
      </c>
      <c r="H36" s="169">
        <v>350</v>
      </c>
      <c r="I36" s="169"/>
      <c r="J36" s="169"/>
      <c r="K36" s="169"/>
      <c r="O36" s="169"/>
      <c r="P36" s="29"/>
      <c r="Q36" s="169">
        <v>500</v>
      </c>
      <c r="S36" s="117">
        <v>4775354</v>
      </c>
      <c r="T36" s="169"/>
      <c r="U36" s="169"/>
      <c r="V36" s="169"/>
      <c r="W36" s="169"/>
      <c r="X36" s="169" t="str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194"/>
      <c r="B37" s="116">
        <v>36</v>
      </c>
      <c r="C37" s="30" t="s">
        <v>60</v>
      </c>
      <c r="E37" s="137">
        <v>350</v>
      </c>
      <c r="F37" s="169">
        <v>350</v>
      </c>
      <c r="G37" s="169">
        <v>350</v>
      </c>
      <c r="H37" s="169">
        <v>350</v>
      </c>
      <c r="I37" s="169"/>
      <c r="J37" s="169"/>
      <c r="K37" s="169"/>
      <c r="O37" s="169"/>
      <c r="P37" s="29"/>
      <c r="S37" s="169"/>
      <c r="T37" s="169"/>
      <c r="U37" s="169"/>
      <c r="V37" s="169"/>
      <c r="W37" s="169"/>
      <c r="X37" s="169" t="str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194"/>
      <c r="B38" s="116">
        <v>37</v>
      </c>
      <c r="C38" s="30" t="s">
        <v>61</v>
      </c>
      <c r="D38" s="169" t="s">
        <v>62</v>
      </c>
      <c r="E38" s="137">
        <v>350</v>
      </c>
      <c r="F38" s="169">
        <v>350</v>
      </c>
      <c r="G38" s="169">
        <v>350</v>
      </c>
      <c r="I38" s="169"/>
      <c r="J38" s="169"/>
      <c r="K38" s="169"/>
      <c r="O38" s="169"/>
      <c r="P38" s="29"/>
      <c r="S38" s="169"/>
      <c r="T38" s="169"/>
      <c r="U38" s="169"/>
      <c r="V38" s="169"/>
      <c r="W38" s="169"/>
      <c r="X38" s="169" t="str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193"/>
      <c r="B39" s="116">
        <v>38</v>
      </c>
      <c r="C39" s="30" t="s">
        <v>63</v>
      </c>
      <c r="E39" s="139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S39" s="169"/>
      <c r="T39" s="169"/>
      <c r="U39" s="169"/>
      <c r="V39" s="169"/>
      <c r="W39" s="169"/>
      <c r="X39" s="169" t="str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192">
        <v>9</v>
      </c>
      <c r="B40" s="44">
        <v>39</v>
      </c>
      <c r="C40" s="40" t="s">
        <v>64</v>
      </c>
      <c r="D40" s="41"/>
      <c r="E40" s="136">
        <v>350</v>
      </c>
      <c r="F40" s="41">
        <v>350</v>
      </c>
      <c r="G40" s="41">
        <v>350</v>
      </c>
      <c r="H40" s="41">
        <v>350</v>
      </c>
      <c r="I40" s="41"/>
      <c r="J40" s="41"/>
      <c r="K40" s="41"/>
      <c r="L40" s="41"/>
      <c r="M40" s="41"/>
      <c r="N40" s="41"/>
      <c r="O40" s="41"/>
      <c r="P40" s="42"/>
      <c r="Q40" s="169">
        <v>500</v>
      </c>
      <c r="S40" s="41">
        <v>4668970</v>
      </c>
      <c r="T40" s="169"/>
      <c r="U40" s="169"/>
      <c r="V40" s="169"/>
      <c r="W40" s="169"/>
      <c r="X40" s="169" t="str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194"/>
      <c r="B41" s="116">
        <v>40</v>
      </c>
      <c r="C41" s="30" t="s">
        <v>65</v>
      </c>
      <c r="E41" s="137">
        <v>350</v>
      </c>
      <c r="F41" s="169">
        <v>350</v>
      </c>
      <c r="G41" s="169">
        <v>350</v>
      </c>
      <c r="H41" s="169">
        <v>350</v>
      </c>
      <c r="I41" s="169">
        <v>30</v>
      </c>
      <c r="J41" s="169">
        <v>30</v>
      </c>
      <c r="K41" s="169">
        <v>30</v>
      </c>
      <c r="L41" s="169">
        <v>30</v>
      </c>
      <c r="M41" s="169">
        <v>30</v>
      </c>
      <c r="N41" s="169">
        <v>30</v>
      </c>
      <c r="O41" s="33"/>
      <c r="P41" s="29"/>
      <c r="Q41" s="169">
        <v>500</v>
      </c>
      <c r="S41" s="169"/>
      <c r="T41" s="169"/>
      <c r="U41" s="169"/>
      <c r="V41" s="169"/>
      <c r="W41" s="169"/>
      <c r="X41" s="169" t="str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194"/>
      <c r="B42" s="116">
        <v>41</v>
      </c>
      <c r="C42" s="30" t="s">
        <v>66</v>
      </c>
      <c r="E42" s="137">
        <v>350</v>
      </c>
      <c r="F42" s="169">
        <v>350</v>
      </c>
      <c r="G42" s="169">
        <v>350</v>
      </c>
      <c r="H42" s="169">
        <v>350</v>
      </c>
      <c r="I42" s="169"/>
      <c r="J42" s="169"/>
      <c r="K42" s="169"/>
      <c r="O42" s="169"/>
      <c r="P42" s="29"/>
      <c r="S42" s="169"/>
      <c r="T42" s="169"/>
      <c r="U42" s="169"/>
      <c r="V42" s="169"/>
      <c r="W42" s="169"/>
      <c r="X42" s="169" t="str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194"/>
      <c r="B43" s="116">
        <v>42</v>
      </c>
      <c r="C43" s="30" t="s">
        <v>67</v>
      </c>
      <c r="E43" s="137">
        <v>350</v>
      </c>
      <c r="F43" s="169">
        <v>350</v>
      </c>
      <c r="G43" s="169">
        <v>350</v>
      </c>
      <c r="H43" s="169">
        <v>350</v>
      </c>
      <c r="I43" s="169"/>
      <c r="J43" s="169"/>
      <c r="K43" s="169"/>
      <c r="O43" s="169"/>
      <c r="P43" s="29"/>
      <c r="S43" s="169"/>
      <c r="T43" s="169"/>
      <c r="U43" s="169"/>
      <c r="V43" s="169"/>
      <c r="W43" s="169"/>
      <c r="X43" s="169" t="str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193"/>
      <c r="B44" s="116">
        <v>43</v>
      </c>
      <c r="C44" s="30" t="s">
        <v>68</v>
      </c>
      <c r="E44" s="137">
        <v>350</v>
      </c>
      <c r="F44" s="169">
        <v>350</v>
      </c>
      <c r="G44" s="169">
        <v>350</v>
      </c>
      <c r="H44" s="169">
        <v>350</v>
      </c>
      <c r="I44" s="169"/>
      <c r="J44" s="169"/>
      <c r="K44" s="169"/>
      <c r="O44" s="169"/>
      <c r="P44" s="29"/>
      <c r="Q44" s="169">
        <v>500</v>
      </c>
      <c r="S44" s="117">
        <v>4789577</v>
      </c>
      <c r="T44" s="169"/>
      <c r="U44" s="169"/>
      <c r="V44" s="169"/>
      <c r="W44" s="169"/>
      <c r="X44" s="169" t="str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192">
        <v>10</v>
      </c>
      <c r="B45" s="44">
        <v>44</v>
      </c>
      <c r="C45" s="40" t="s">
        <v>69</v>
      </c>
      <c r="D45" s="41"/>
      <c r="E45" s="136">
        <v>350</v>
      </c>
      <c r="F45" s="41">
        <v>350</v>
      </c>
      <c r="G45" s="41">
        <v>350</v>
      </c>
      <c r="H45" s="41">
        <v>350</v>
      </c>
      <c r="I45" s="41"/>
      <c r="J45" s="41"/>
      <c r="K45" s="41"/>
      <c r="L45" s="41"/>
      <c r="M45" s="41"/>
      <c r="N45" s="41"/>
      <c r="O45" s="41"/>
      <c r="P45" s="42"/>
      <c r="Q45" s="169">
        <v>500</v>
      </c>
      <c r="S45" s="41"/>
      <c r="T45" s="169"/>
      <c r="U45" s="169"/>
      <c r="V45" s="169"/>
      <c r="W45" s="169"/>
      <c r="X45" s="169" t="str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194"/>
      <c r="B46" s="116">
        <v>45</v>
      </c>
      <c r="C46" s="30" t="s">
        <v>70</v>
      </c>
      <c r="E46" s="137">
        <v>350</v>
      </c>
      <c r="F46" s="169">
        <v>350</v>
      </c>
      <c r="G46" s="169">
        <v>350</v>
      </c>
      <c r="H46" s="169">
        <v>350</v>
      </c>
      <c r="I46" s="169"/>
      <c r="J46" s="169"/>
      <c r="K46" s="169"/>
      <c r="O46" s="169"/>
      <c r="P46" s="29"/>
      <c r="Q46" s="33">
        <v>500</v>
      </c>
      <c r="S46" s="169">
        <v>4727351</v>
      </c>
      <c r="T46" s="169"/>
      <c r="U46" s="169"/>
      <c r="V46" s="169"/>
      <c r="W46" s="169"/>
      <c r="X46" s="169" t="str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194"/>
      <c r="B47" s="116">
        <v>46</v>
      </c>
      <c r="C47" s="30" t="s">
        <v>71</v>
      </c>
      <c r="E47" s="137">
        <v>350</v>
      </c>
      <c r="F47" s="169">
        <v>350</v>
      </c>
      <c r="G47" s="169">
        <v>350</v>
      </c>
      <c r="H47" s="169">
        <v>350</v>
      </c>
      <c r="I47" s="169"/>
      <c r="J47" s="169"/>
      <c r="K47" s="169"/>
      <c r="O47" s="169"/>
      <c r="P47" s="29"/>
      <c r="Q47" s="169">
        <v>500</v>
      </c>
      <c r="S47" s="169">
        <v>4512636</v>
      </c>
      <c r="T47" s="169"/>
      <c r="U47" s="169"/>
      <c r="V47" s="169"/>
      <c r="W47" s="169"/>
      <c r="X47" s="169" t="str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194"/>
      <c r="B48" s="116">
        <v>47</v>
      </c>
      <c r="C48" s="30" t="s">
        <v>72</v>
      </c>
      <c r="E48" s="144">
        <v>350</v>
      </c>
      <c r="F48" s="145">
        <v>350</v>
      </c>
      <c r="G48" s="145">
        <v>350</v>
      </c>
      <c r="H48" s="145">
        <v>350</v>
      </c>
      <c r="I48" s="145">
        <v>350</v>
      </c>
      <c r="J48" s="145">
        <v>350</v>
      </c>
      <c r="K48" s="145">
        <v>350</v>
      </c>
      <c r="L48" s="145">
        <v>350</v>
      </c>
      <c r="M48" s="145">
        <v>350</v>
      </c>
      <c r="N48" s="145">
        <v>350</v>
      </c>
      <c r="O48" s="145">
        <v>350</v>
      </c>
      <c r="P48" s="146">
        <v>350</v>
      </c>
      <c r="Q48" s="169">
        <v>500</v>
      </c>
      <c r="R48" s="169" t="s">
        <v>73</v>
      </c>
      <c r="S48" s="169">
        <v>4514854</v>
      </c>
      <c r="T48" s="169"/>
      <c r="U48" s="169"/>
      <c r="V48" s="169"/>
      <c r="W48" s="169"/>
      <c r="X48" s="169" t="str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193"/>
      <c r="B49" s="116">
        <v>48</v>
      </c>
      <c r="C49" s="30" t="s">
        <v>74</v>
      </c>
      <c r="E49" s="137">
        <v>350</v>
      </c>
      <c r="F49" s="169">
        <v>350</v>
      </c>
      <c r="G49" s="169">
        <v>350</v>
      </c>
      <c r="H49" s="169">
        <v>350</v>
      </c>
      <c r="I49" s="169"/>
      <c r="J49" s="169"/>
      <c r="K49" s="169"/>
      <c r="O49" s="169"/>
      <c r="P49" s="29"/>
      <c r="Q49" s="169">
        <v>500</v>
      </c>
      <c r="S49" s="169"/>
      <c r="T49" s="169"/>
      <c r="U49" s="169"/>
      <c r="V49" s="169"/>
      <c r="W49" s="169"/>
      <c r="X49" s="169" t="str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192">
        <v>11</v>
      </c>
      <c r="B50" s="44">
        <v>49</v>
      </c>
      <c r="C50" s="40" t="s">
        <v>75</v>
      </c>
      <c r="D50" s="41" t="s">
        <v>76</v>
      </c>
      <c r="E50" s="136">
        <v>350</v>
      </c>
      <c r="F50" s="41">
        <v>350</v>
      </c>
      <c r="G50" s="41">
        <v>350</v>
      </c>
      <c r="H50" s="41">
        <v>350</v>
      </c>
      <c r="I50" s="41"/>
      <c r="J50" s="41"/>
      <c r="K50" s="41"/>
      <c r="L50" s="41"/>
      <c r="M50" s="41"/>
      <c r="N50" s="41"/>
      <c r="O50" s="41"/>
      <c r="P50" s="42"/>
      <c r="R50" s="169" t="s">
        <v>77</v>
      </c>
      <c r="S50" s="118">
        <v>4837872</v>
      </c>
      <c r="T50" s="169"/>
      <c r="U50" s="169"/>
      <c r="V50" s="169"/>
      <c r="W50" s="169"/>
      <c r="X50" s="169" t="str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מאי (חוב 350)</v>
      </c>
    </row>
    <row r="51" spans="1:24">
      <c r="A51" s="194"/>
      <c r="B51" s="116">
        <v>50</v>
      </c>
      <c r="C51" s="30" t="s">
        <v>78</v>
      </c>
      <c r="E51" s="142">
        <v>320</v>
      </c>
      <c r="F51" s="169">
        <v>350</v>
      </c>
      <c r="G51" s="169">
        <v>350</v>
      </c>
      <c r="H51" s="169">
        <v>350</v>
      </c>
      <c r="I51" s="169"/>
      <c r="J51" s="169"/>
      <c r="K51" s="169"/>
      <c r="O51" s="124"/>
      <c r="P51" s="131"/>
      <c r="R51" s="169" t="s">
        <v>79</v>
      </c>
      <c r="S51" s="169">
        <v>4509096</v>
      </c>
      <c r="T51" s="169"/>
      <c r="U51" s="169"/>
      <c r="V51" s="169"/>
      <c r="W51" s="169"/>
      <c r="X51" s="169" t="str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194"/>
      <c r="B52" s="116">
        <v>51</v>
      </c>
      <c r="C52" s="30" t="s">
        <v>80</v>
      </c>
      <c r="D52" s="169" t="s">
        <v>81</v>
      </c>
      <c r="E52" s="137">
        <v>350</v>
      </c>
      <c r="F52" s="169">
        <v>350</v>
      </c>
      <c r="G52" s="169">
        <v>350</v>
      </c>
      <c r="H52" s="169">
        <v>350</v>
      </c>
      <c r="I52" s="169"/>
      <c r="J52" s="169"/>
      <c r="K52" s="169"/>
      <c r="O52" s="169"/>
      <c r="P52" s="29"/>
      <c r="S52" s="169">
        <v>4691410</v>
      </c>
      <c r="T52" s="169"/>
      <c r="U52" s="169"/>
      <c r="V52" s="169"/>
      <c r="W52" s="169"/>
      <c r="X52" s="169" t="str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194"/>
      <c r="B53" s="116">
        <v>52</v>
      </c>
      <c r="C53" s="30" t="s">
        <v>82</v>
      </c>
      <c r="E53" s="137">
        <v>350</v>
      </c>
      <c r="F53" s="169">
        <v>350</v>
      </c>
      <c r="G53" s="169">
        <v>350</v>
      </c>
      <c r="H53" s="169">
        <v>350</v>
      </c>
      <c r="I53" s="169"/>
      <c r="J53" s="169"/>
      <c r="K53" s="169"/>
      <c r="O53" s="169"/>
      <c r="P53" s="29"/>
      <c r="Q53" s="169">
        <v>500</v>
      </c>
      <c r="S53" s="169"/>
      <c r="T53" s="169"/>
      <c r="U53" s="169"/>
      <c r="V53" s="169"/>
      <c r="W53" s="169"/>
      <c r="X53" s="169" t="str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193"/>
      <c r="B54" s="119">
        <v>53</v>
      </c>
      <c r="C54" s="35" t="s">
        <v>83</v>
      </c>
      <c r="D54" s="34"/>
      <c r="E54" s="168">
        <v>350</v>
      </c>
      <c r="F54" s="34">
        <v>350</v>
      </c>
      <c r="G54" s="34"/>
      <c r="H54" s="34"/>
      <c r="I54" s="34"/>
      <c r="J54" s="34"/>
      <c r="K54" s="34"/>
      <c r="L54" s="34"/>
      <c r="M54" s="34"/>
      <c r="N54" s="34"/>
      <c r="O54" s="127"/>
      <c r="P54" s="140"/>
      <c r="R54" s="169" t="s">
        <v>84</v>
      </c>
      <c r="S54" s="34"/>
      <c r="T54" s="169"/>
      <c r="U54" s="169"/>
      <c r="V54" s="169"/>
      <c r="W54" s="169"/>
      <c r="X54" s="169" t="str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195">
        <v>12</v>
      </c>
      <c r="B55" s="116">
        <v>54</v>
      </c>
      <c r="C55" s="30" t="s">
        <v>85</v>
      </c>
      <c r="E55" s="137">
        <v>350</v>
      </c>
      <c r="F55" s="169">
        <v>350</v>
      </c>
      <c r="G55" s="169">
        <v>350</v>
      </c>
      <c r="H55" s="169">
        <v>350</v>
      </c>
      <c r="I55" s="169"/>
      <c r="J55" s="169"/>
      <c r="K55" s="169"/>
      <c r="O55" s="169"/>
      <c r="P55" s="29"/>
      <c r="S55" s="169">
        <v>4763312</v>
      </c>
      <c r="T55" s="169"/>
      <c r="U55" s="169"/>
      <c r="V55" s="169"/>
      <c r="W55" s="169"/>
      <c r="X55" s="169" t="str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194"/>
      <c r="B56" s="37">
        <v>55</v>
      </c>
      <c r="C56" s="30" t="s">
        <v>86</v>
      </c>
      <c r="D56" s="169" t="s">
        <v>87</v>
      </c>
      <c r="E56" s="137">
        <v>350</v>
      </c>
      <c r="F56" s="169">
        <v>350</v>
      </c>
      <c r="G56" s="169">
        <v>350</v>
      </c>
      <c r="H56" s="169">
        <v>350</v>
      </c>
      <c r="I56" s="169"/>
      <c r="J56" s="169"/>
      <c r="K56" s="169"/>
      <c r="O56" s="169"/>
      <c r="P56" s="29"/>
      <c r="Q56" s="169">
        <v>500</v>
      </c>
      <c r="S56" s="169"/>
      <c r="T56" s="169"/>
      <c r="U56" s="169"/>
      <c r="V56" s="169"/>
      <c r="W56" s="169"/>
      <c r="X56" s="169" t="str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194"/>
      <c r="B57" s="116">
        <v>56</v>
      </c>
      <c r="C57" s="30" t="s">
        <v>88</v>
      </c>
      <c r="D57" s="169" t="s">
        <v>89</v>
      </c>
      <c r="E57" s="137">
        <v>350</v>
      </c>
      <c r="F57" s="169">
        <v>350</v>
      </c>
      <c r="G57" s="169">
        <v>350</v>
      </c>
      <c r="H57" s="169">
        <v>350</v>
      </c>
      <c r="I57" s="169"/>
      <c r="J57" s="169"/>
      <c r="K57" s="169"/>
      <c r="O57" s="169"/>
      <c r="P57" s="29"/>
      <c r="Q57" s="169">
        <v>500</v>
      </c>
      <c r="S57" s="169">
        <v>4587785</v>
      </c>
      <c r="T57" s="169"/>
      <c r="U57" s="169"/>
      <c r="V57" s="169"/>
      <c r="W57" s="169"/>
      <c r="X57" s="169" t="str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194"/>
      <c r="B58" s="37">
        <v>57</v>
      </c>
      <c r="C58" s="30" t="s">
        <v>90</v>
      </c>
      <c r="E58" s="137">
        <v>350</v>
      </c>
      <c r="F58" s="169">
        <v>350</v>
      </c>
      <c r="G58" s="169">
        <v>350</v>
      </c>
      <c r="H58" s="169">
        <v>350</v>
      </c>
      <c r="I58" s="169"/>
      <c r="J58" s="169"/>
      <c r="K58" s="169"/>
      <c r="O58" s="169"/>
      <c r="P58" s="29"/>
      <c r="S58" s="169"/>
      <c r="T58" s="169"/>
      <c r="U58" s="169"/>
      <c r="V58" s="169"/>
      <c r="W58" s="169"/>
      <c r="X58" s="169" t="str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193"/>
      <c r="B59" s="116">
        <v>58</v>
      </c>
      <c r="C59" s="30" t="s">
        <v>91</v>
      </c>
      <c r="E59" s="137">
        <v>350</v>
      </c>
      <c r="F59" s="169">
        <v>350</v>
      </c>
      <c r="G59" s="169">
        <v>350</v>
      </c>
      <c r="H59" s="169">
        <v>350</v>
      </c>
      <c r="I59" s="169"/>
      <c r="J59" s="169"/>
      <c r="K59" s="169"/>
      <c r="O59" s="169"/>
      <c r="P59" s="131"/>
      <c r="S59" s="169">
        <v>4660306</v>
      </c>
      <c r="T59" s="169"/>
      <c r="U59" s="169"/>
      <c r="V59" s="169"/>
      <c r="W59" s="169"/>
      <c r="X59" s="169" t="str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מאי (חוב 350)</v>
      </c>
    </row>
    <row r="60" spans="1:24">
      <c r="A60" s="192">
        <v>13</v>
      </c>
      <c r="B60" s="39">
        <v>59</v>
      </c>
      <c r="C60" s="40" t="s">
        <v>92</v>
      </c>
      <c r="D60" s="41"/>
      <c r="E60" s="136">
        <v>350</v>
      </c>
      <c r="F60" s="41">
        <v>350</v>
      </c>
      <c r="G60" s="41">
        <v>350</v>
      </c>
      <c r="H60" s="41">
        <v>350</v>
      </c>
      <c r="I60" s="41"/>
      <c r="J60" s="41"/>
      <c r="K60" s="41"/>
      <c r="L60" s="41"/>
      <c r="M60" s="41"/>
      <c r="N60" s="41"/>
      <c r="O60" s="41"/>
      <c r="P60" s="42"/>
      <c r="S60" s="40" t="s">
        <v>93</v>
      </c>
      <c r="T60" s="169"/>
      <c r="U60" s="169"/>
      <c r="V60" s="169"/>
      <c r="W60" s="169"/>
      <c r="X60" s="169" t="str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193"/>
      <c r="B61" s="38">
        <v>60</v>
      </c>
      <c r="C61" s="170" t="s">
        <v>94</v>
      </c>
      <c r="D61" s="35" t="s">
        <v>95</v>
      </c>
      <c r="E61" s="168">
        <v>350</v>
      </c>
      <c r="F61" s="34">
        <v>350</v>
      </c>
      <c r="G61" s="34">
        <v>350</v>
      </c>
      <c r="H61" s="34">
        <v>350</v>
      </c>
      <c r="I61" s="34"/>
      <c r="J61" s="34"/>
      <c r="K61" s="34"/>
      <c r="L61" s="34"/>
      <c r="M61" s="34"/>
      <c r="N61" s="34"/>
      <c r="O61" s="34"/>
      <c r="P61" s="36"/>
      <c r="Q61" s="169">
        <v>500</v>
      </c>
      <c r="S61" s="34">
        <v>4613527</v>
      </c>
      <c r="T61" s="169"/>
      <c r="U61" s="169"/>
      <c r="V61" s="169"/>
      <c r="W61" s="169"/>
      <c r="X61" s="169" t="str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5" t="s">
        <v>96</v>
      </c>
      <c r="C62" s="171"/>
      <c r="E62" s="6">
        <f>SUM(E2:E61)</f>
        <v>19570</v>
      </c>
      <c r="F62" s="6">
        <f>SUM(F2:F61)</f>
        <v>19600</v>
      </c>
      <c r="G62" s="6">
        <f>SUM(G2:G61)</f>
        <v>19250</v>
      </c>
      <c r="H62" s="6">
        <f>SUM(H2:H61)</f>
        <v>18900</v>
      </c>
      <c r="I62" s="6">
        <f>SUM(I2:I61)</f>
        <v>760</v>
      </c>
      <c r="J62" s="6">
        <f>SUM(J2:J61)</f>
        <v>760</v>
      </c>
      <c r="K62" s="6">
        <f>SUM(K2:K61)</f>
        <v>410</v>
      </c>
      <c r="L62" s="6">
        <f>SUM(L2:L61)</f>
        <v>410</v>
      </c>
      <c r="M62" s="6">
        <f>SUM(M2:M61)</f>
        <v>410</v>
      </c>
      <c r="N62" s="6">
        <f>SUM(N2:N61)</f>
        <v>410</v>
      </c>
      <c r="O62" s="6">
        <f>SUM(O2:O61)</f>
        <v>380</v>
      </c>
      <c r="P62" s="6">
        <f>SUM(P2:P61)</f>
        <v>380</v>
      </c>
      <c r="Q62" s="6">
        <f>SUM(Q2:Q61)</f>
        <v>19050</v>
      </c>
      <c r="S62" s="169"/>
      <c r="T62" s="169"/>
      <c r="U62" s="169"/>
      <c r="V62" s="169"/>
      <c r="W62" s="169"/>
    </row>
    <row r="63" spans="1:24">
      <c r="B63" s="5" t="s">
        <v>97</v>
      </c>
      <c r="C63" s="171"/>
      <c r="E63" s="6">
        <f>56*350</f>
        <v>19600</v>
      </c>
      <c r="F63" s="6">
        <f>56*350</f>
        <v>19600</v>
      </c>
      <c r="G63" s="6">
        <f>56*350</f>
        <v>19600</v>
      </c>
      <c r="H63" s="6">
        <f>56*350</f>
        <v>19600</v>
      </c>
      <c r="I63" s="6">
        <f>56*350</f>
        <v>19600</v>
      </c>
      <c r="J63" s="6">
        <f>56*350</f>
        <v>19600</v>
      </c>
      <c r="K63" s="6">
        <f>56*350</f>
        <v>19600</v>
      </c>
      <c r="L63" s="6">
        <f>56*350</f>
        <v>19600</v>
      </c>
      <c r="M63" s="6">
        <f>56*350</f>
        <v>19600</v>
      </c>
      <c r="N63" s="6">
        <f>56*350</f>
        <v>19600</v>
      </c>
      <c r="O63" s="6">
        <f>56*350</f>
        <v>19600</v>
      </c>
      <c r="P63" s="6">
        <f>56*350</f>
        <v>19600</v>
      </c>
      <c r="Q63" s="169">
        <v>30000</v>
      </c>
      <c r="S63" s="169"/>
      <c r="T63" s="169"/>
      <c r="U63" s="169"/>
      <c r="V63" s="169"/>
      <c r="W63" s="169"/>
    </row>
    <row r="64" spans="1:24">
      <c r="B64" s="7" t="s">
        <v>98</v>
      </c>
      <c r="C64" s="172"/>
      <c r="D64" s="8"/>
      <c r="E64" s="173">
        <f>E62/E63</f>
        <v>0.99846938775510208</v>
      </c>
      <c r="F64" s="173">
        <f>F62/F63</f>
        <v>1</v>
      </c>
      <c r="G64" s="173">
        <f>G62/G63</f>
        <v>0.9821428571428571</v>
      </c>
      <c r="H64" s="173">
        <f>H62/H63</f>
        <v>0.9642857142857143</v>
      </c>
      <c r="I64" s="173">
        <f>I62/I63</f>
        <v>3.8775510204081633E-2</v>
      </c>
      <c r="J64" s="173">
        <f>J62/J63</f>
        <v>3.8775510204081633E-2</v>
      </c>
      <c r="K64" s="173">
        <f>K62/K63</f>
        <v>2.0918367346938777E-2</v>
      </c>
      <c r="L64" s="173">
        <f>L62/L63</f>
        <v>2.0918367346938777E-2</v>
      </c>
      <c r="M64" s="173">
        <f>M62/M63</f>
        <v>2.0918367346938777E-2</v>
      </c>
      <c r="N64" s="173">
        <f>N62/N63</f>
        <v>2.0918367346938777E-2</v>
      </c>
      <c r="O64" s="173">
        <f>O62/O63</f>
        <v>1.9387755102040816E-2</v>
      </c>
      <c r="P64" s="173">
        <f>P62/P63</f>
        <v>1.9387755102040816E-2</v>
      </c>
      <c r="Q64" s="173">
        <f>Q62/Q63</f>
        <v>0.63500000000000001</v>
      </c>
      <c r="S64" s="8"/>
      <c r="T64" s="169"/>
      <c r="U64" s="169"/>
      <c r="V64" s="169"/>
      <c r="W64" s="169"/>
    </row>
    <row r="65" spans="2:24">
      <c r="B65" s="116" t="s">
        <v>99</v>
      </c>
      <c r="C65" s="171"/>
      <c r="G65" s="169"/>
      <c r="I65" s="169"/>
      <c r="J65" s="169"/>
      <c r="K65" s="169"/>
      <c r="O65" s="169"/>
      <c r="P65" s="169"/>
      <c r="S65" s="169"/>
      <c r="T65" s="169"/>
      <c r="U65" s="169"/>
      <c r="V65" s="169"/>
      <c r="W65" s="169"/>
    </row>
    <row r="66" spans="2:24">
      <c r="B66" s="116" t="s">
        <v>100</v>
      </c>
      <c r="C66" s="171"/>
      <c r="E66" s="174">
        <v>17503</v>
      </c>
      <c r="G66" s="169"/>
      <c r="I66" s="169"/>
      <c r="J66" s="169"/>
      <c r="K66" s="169"/>
      <c r="O66" s="169"/>
      <c r="P66" s="169"/>
      <c r="R66" s="169" t="s">
        <v>101</v>
      </c>
      <c r="S66" s="169"/>
      <c r="T66" s="169"/>
      <c r="U66" s="169"/>
      <c r="V66" s="169"/>
      <c r="W66" s="169"/>
    </row>
    <row r="68" spans="2:24">
      <c r="B68" s="9"/>
      <c r="C68" s="30" t="s">
        <v>102</v>
      </c>
      <c r="G68" s="169"/>
      <c r="I68" s="169"/>
      <c r="J68" s="169"/>
      <c r="K68" s="169"/>
      <c r="O68" s="169"/>
      <c r="P68" s="169"/>
      <c r="S68" s="169"/>
      <c r="T68" s="169"/>
      <c r="U68" s="169"/>
      <c r="V68" s="169"/>
      <c r="W68" s="169"/>
      <c r="X68" s="151" t="s">
        <v>103</v>
      </c>
    </row>
    <row r="69" spans="2:24" ht="293.25" customHeight="1">
      <c r="B69" s="10"/>
      <c r="C69" s="30" t="s">
        <v>104</v>
      </c>
      <c r="G69" s="169"/>
      <c r="I69" s="169"/>
      <c r="J69" s="169"/>
      <c r="K69" s="169"/>
      <c r="O69" s="169"/>
      <c r="P69" s="169"/>
      <c r="S69" s="169"/>
      <c r="T69" s="169"/>
      <c r="U69" s="169"/>
      <c r="V69" s="169"/>
      <c r="W69" s="169"/>
      <c r="X69" s="143" t="str">
        <f ca="1">"היי, להלן רשימת החובות המעודכנת:" &amp; CHAR(10) &amp; _xlfn.TEXTJOIN(CHAR(10), TRUE, X2:X61)</f>
        <v>היי, להלן רשימת החובות המעודכנת:
דירה 1 - מאי (חוב 350)
דירה 2 -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מאי (חוב 350)
דירה 15 - מאי (חוב 350)
דירה 16 - מאי (חוב 350)
דירה 17 - מאי (חוב 350)
דירה 18 -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מאי (חוב 350)
דירה 59 - מאי (חוב 350)
דירה 60 - מאי (חוב 350)</v>
      </c>
    </row>
    <row r="72" spans="2:24">
      <c r="B72" s="169" t="s">
        <v>105</v>
      </c>
      <c r="G72" s="169"/>
      <c r="I72" s="169"/>
      <c r="J72" s="169"/>
      <c r="K72" s="169"/>
      <c r="O72" s="169"/>
      <c r="P72" s="169"/>
      <c r="S72" s="169"/>
      <c r="T72" s="169"/>
      <c r="U72" s="169"/>
      <c r="V72" s="169"/>
      <c r="W72" s="169"/>
    </row>
    <row r="73" spans="2:24">
      <c r="B73" s="169" t="s">
        <v>106</v>
      </c>
      <c r="G73" s="169"/>
      <c r="I73" s="169"/>
      <c r="J73" s="169"/>
      <c r="K73" s="169"/>
      <c r="O73" s="169"/>
      <c r="P73" s="169"/>
      <c r="S73" s="169"/>
      <c r="T73" s="169"/>
      <c r="U73" s="169"/>
      <c r="V73" s="169"/>
      <c r="W73" s="169"/>
    </row>
    <row r="74" spans="2:24">
      <c r="B74" s="169" t="s">
        <v>107</v>
      </c>
      <c r="G74" s="169"/>
      <c r="I74" s="169"/>
      <c r="J74" s="169"/>
      <c r="K74" s="169"/>
      <c r="O74" s="169"/>
      <c r="P74" s="169"/>
      <c r="S74" s="169"/>
      <c r="T74" s="169"/>
      <c r="U74" s="169"/>
      <c r="V74" s="169"/>
      <c r="W74" s="169"/>
    </row>
  </sheetData>
  <mergeCells count="13">
    <mergeCell ref="A60:A61"/>
    <mergeCell ref="A25:A29"/>
    <mergeCell ref="A2:A4"/>
    <mergeCell ref="A50:A54"/>
    <mergeCell ref="A10:A14"/>
    <mergeCell ref="A20:A24"/>
    <mergeCell ref="A55:A59"/>
    <mergeCell ref="A45:A49"/>
    <mergeCell ref="A40:A44"/>
    <mergeCell ref="A30:A34"/>
    <mergeCell ref="A5:A9"/>
    <mergeCell ref="A15:A19"/>
    <mergeCell ref="A35:A3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defaultRowHeight="15"/>
  <cols>
    <col min="1" max="1" width="24.7109375" style="169" bestFit="1" customWidth="1"/>
    <col min="2" max="2" width="33.7109375" style="169" bestFit="1" customWidth="1"/>
    <col min="3" max="3" width="12.42578125" style="169" customWidth="1"/>
    <col min="4" max="4" width="18" style="169" bestFit="1" customWidth="1"/>
    <col min="5" max="5" width="11.7109375" style="169" bestFit="1" customWidth="1"/>
    <col min="6" max="6" width="11" style="169" bestFit="1" customWidth="1"/>
    <col min="7" max="7" width="10.85546875" style="169" bestFit="1" customWidth="1"/>
    <col min="8" max="8" width="11" style="169" bestFit="1" customWidth="1"/>
    <col min="9" max="9" width="11.7109375" style="169" customWidth="1"/>
    <col min="10" max="10" width="13.28515625" style="169" customWidth="1"/>
    <col min="11" max="11" width="13.140625" style="169" customWidth="1"/>
    <col min="12" max="12" width="12.140625" style="169" customWidth="1"/>
    <col min="13" max="13" width="11.7109375" style="169" customWidth="1"/>
    <col min="14" max="14" width="14.5703125" style="169" customWidth="1"/>
    <col min="15" max="15" width="12.7109375" style="169" customWidth="1"/>
  </cols>
  <sheetData>
    <row r="1" spans="1:1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2" t="s">
        <v>119</v>
      </c>
      <c r="M1" s="12" t="s">
        <v>120</v>
      </c>
      <c r="N1" s="11" t="s">
        <v>121</v>
      </c>
      <c r="O1" s="13" t="s">
        <v>122</v>
      </c>
    </row>
    <row r="2" spans="1:15">
      <c r="A2" s="14" t="s">
        <v>123</v>
      </c>
      <c r="B2" s="175">
        <v>7500</v>
      </c>
      <c r="C2" s="175">
        <v>7500</v>
      </c>
      <c r="D2" s="175">
        <v>7500</v>
      </c>
      <c r="E2" s="175">
        <v>7500</v>
      </c>
      <c r="F2" s="175"/>
      <c r="G2" s="175"/>
      <c r="H2" s="175"/>
      <c r="I2" s="175"/>
      <c r="J2" s="175"/>
      <c r="K2" s="175"/>
      <c r="L2" s="175"/>
      <c r="M2" s="175"/>
      <c r="N2" s="176">
        <f>AVERAGE(Table2[[#This Row],[ינואר 25]:[דצמבר 25]])</f>
        <v>7500</v>
      </c>
      <c r="O2" s="177">
        <f>SUM(Table2[[#This Row],[ינואר 25]:[דצמבר 25]])</f>
        <v>30000</v>
      </c>
    </row>
    <row r="3" spans="1:15">
      <c r="A3" s="14" t="s">
        <v>124</v>
      </c>
      <c r="B3" s="175">
        <v>4361.79</v>
      </c>
      <c r="C3" s="175">
        <v>4361.79</v>
      </c>
      <c r="D3" s="175">
        <v>4549.4799999999996</v>
      </c>
      <c r="E3" s="175">
        <v>4558.28</v>
      </c>
      <c r="F3" s="175"/>
      <c r="G3" s="175"/>
      <c r="H3" s="175"/>
      <c r="I3" s="175"/>
      <c r="J3" s="175"/>
      <c r="K3" s="175"/>
      <c r="L3" s="175"/>
      <c r="M3" s="175"/>
      <c r="N3" s="176">
        <f>AVERAGE(Table2[[#This Row],[ינואר 25]:[דצמבר 25]])</f>
        <v>4457.835</v>
      </c>
      <c r="O3" s="177">
        <f>SUM(Table2[[#This Row],[ינואר 25]:[דצמבר 25]])</f>
        <v>17831.34</v>
      </c>
    </row>
    <row r="4" spans="1:15">
      <c r="A4" s="14" t="s">
        <v>125</v>
      </c>
      <c r="B4" s="175">
        <v>3545.6</v>
      </c>
      <c r="C4" s="175">
        <v>3595.06</v>
      </c>
      <c r="D4" s="175">
        <v>3233.77</v>
      </c>
      <c r="E4" s="175">
        <v>3353.66</v>
      </c>
      <c r="F4" s="175"/>
      <c r="G4" s="175"/>
      <c r="H4" s="175"/>
      <c r="I4" s="175"/>
      <c r="J4" s="175"/>
      <c r="K4" s="175"/>
      <c r="L4" s="175"/>
      <c r="M4" s="175"/>
      <c r="N4" s="176">
        <f>AVERAGE(Table2[[#This Row],[ינואר 25]:[דצמבר 25]])</f>
        <v>3432.0225</v>
      </c>
      <c r="O4" s="177">
        <f>SUM(Table2[[#This Row],[ינואר 25]:[דצמבר 25]])</f>
        <v>13728.09</v>
      </c>
    </row>
    <row r="5" spans="1:15">
      <c r="A5" s="14" t="s">
        <v>126</v>
      </c>
      <c r="B5" s="175">
        <v>1500</v>
      </c>
      <c r="C5" s="175">
        <v>900</v>
      </c>
      <c r="D5" s="175">
        <v>900</v>
      </c>
      <c r="E5" s="175">
        <v>900</v>
      </c>
      <c r="F5" s="175"/>
      <c r="G5" s="175"/>
      <c r="H5" s="175"/>
      <c r="I5" s="175"/>
      <c r="J5" s="175"/>
      <c r="K5" s="175"/>
      <c r="L5" s="175"/>
      <c r="M5" s="175"/>
      <c r="N5" s="176">
        <f>AVERAGE(Table2[[#This Row],[ינואר 25]:[דצמבר 25]])</f>
        <v>1050</v>
      </c>
      <c r="O5" s="177">
        <f>SUM(Table2[[#This Row],[ינואר 25]:[דצמבר 25]])</f>
        <v>4200</v>
      </c>
    </row>
    <row r="6" spans="1:15">
      <c r="A6" s="14" t="s">
        <v>127</v>
      </c>
      <c r="B6" s="175">
        <v>981</v>
      </c>
      <c r="C6" s="175">
        <v>982</v>
      </c>
      <c r="D6" s="175">
        <v>979</v>
      </c>
      <c r="E6" s="175">
        <v>981</v>
      </c>
      <c r="F6" s="175"/>
      <c r="G6" s="175"/>
      <c r="H6" s="175"/>
      <c r="I6" s="175"/>
      <c r="J6" s="175"/>
      <c r="K6" s="175"/>
      <c r="L6" s="175"/>
      <c r="M6" s="175"/>
      <c r="N6" s="176">
        <f>AVERAGE(Table2[[#This Row],[ינואר 25]:[דצמבר 25]])</f>
        <v>980.75</v>
      </c>
      <c r="O6" s="177">
        <f>SUM(Table2[[#This Row],[ינואר 25]:[דצמבר 25]])</f>
        <v>3923</v>
      </c>
    </row>
    <row r="7" spans="1:15">
      <c r="A7" s="14" t="s">
        <v>128</v>
      </c>
      <c r="B7" s="175">
        <v>780.11</v>
      </c>
      <c r="C7" s="175">
        <v>780.11</v>
      </c>
      <c r="D7" s="175">
        <v>780.11</v>
      </c>
      <c r="E7" s="175"/>
      <c r="F7" s="175"/>
      <c r="G7" s="175"/>
      <c r="H7" s="175"/>
      <c r="I7" s="175"/>
      <c r="J7" s="175"/>
      <c r="K7" s="175"/>
      <c r="L7" s="175"/>
      <c r="M7" s="175"/>
      <c r="N7" s="176">
        <f>AVERAGE(Table2[[#This Row],[ינואר 25]:[דצמבר 25]])</f>
        <v>780.11</v>
      </c>
      <c r="O7" s="177">
        <f>SUM(Table2[[#This Row],[ינואר 25]:[דצמבר 25]])</f>
        <v>2340.33</v>
      </c>
    </row>
    <row r="8" spans="1:15">
      <c r="A8" s="14" t="s">
        <v>129</v>
      </c>
      <c r="B8" s="175">
        <v>90.77</v>
      </c>
      <c r="C8" s="175">
        <v>90.77</v>
      </c>
      <c r="D8" s="175">
        <v>90.77</v>
      </c>
      <c r="E8" s="175">
        <v>90.77</v>
      </c>
      <c r="F8" s="175"/>
      <c r="G8" s="175"/>
      <c r="H8" s="175"/>
      <c r="I8" s="175"/>
      <c r="J8" s="175"/>
      <c r="K8" s="175"/>
      <c r="L8" s="175"/>
      <c r="M8" s="175"/>
      <c r="N8" s="176">
        <f>AVERAGE(Table2[[#This Row],[ינואר 25]:[דצמבר 25]])</f>
        <v>90.77</v>
      </c>
      <c r="O8" s="177">
        <f>SUM(Table2[[#This Row],[ינואר 25]:[דצמבר 25]])</f>
        <v>363.08</v>
      </c>
    </row>
    <row r="9" spans="1:15">
      <c r="A9" s="159" t="s">
        <v>130</v>
      </c>
      <c r="B9" s="175">
        <v>0</v>
      </c>
      <c r="C9" s="175">
        <v>0</v>
      </c>
      <c r="D9" s="175">
        <f>77+74.25</f>
        <v>151.25</v>
      </c>
      <c r="E9" s="175">
        <v>77</v>
      </c>
      <c r="F9" s="175"/>
      <c r="G9" s="175"/>
      <c r="H9" s="175"/>
      <c r="I9" s="175"/>
      <c r="J9" s="175"/>
      <c r="K9" s="175"/>
      <c r="L9" s="175"/>
      <c r="M9" s="175"/>
      <c r="N9" s="176">
        <f>AVERAGE(Table2[[#This Row],[ינואר 25]:[דצמבר 25]])</f>
        <v>57.0625</v>
      </c>
      <c r="O9" s="177">
        <f>SUM(Table2[[#This Row],[ינואר 25]:[דצמבר 25]])</f>
        <v>228.25</v>
      </c>
    </row>
    <row r="10" spans="1:15">
      <c r="A10" s="14" t="s">
        <v>131</v>
      </c>
      <c r="B10" s="175">
        <v>24.57</v>
      </c>
      <c r="C10" s="175">
        <v>0</v>
      </c>
      <c r="D10" s="175">
        <f>24.57+24.57</f>
        <v>49.14</v>
      </c>
      <c r="E10" s="175">
        <v>24.57</v>
      </c>
      <c r="F10" s="175"/>
      <c r="G10" s="175"/>
      <c r="H10" s="175"/>
      <c r="I10" s="175"/>
      <c r="J10" s="175"/>
      <c r="K10" s="175"/>
      <c r="L10" s="175"/>
      <c r="M10" s="175"/>
      <c r="N10" s="176">
        <f>AVERAGE(Table2[[#This Row],[ינואר 25]:[דצמבר 25]])</f>
        <v>24.57</v>
      </c>
      <c r="O10" s="177">
        <f>SUM(Table2[[#This Row],[ינואר 25]:[דצמבר 25]])</f>
        <v>98.28</v>
      </c>
    </row>
    <row r="11" spans="1:15">
      <c r="A11" s="14" t="s">
        <v>132</v>
      </c>
      <c r="B11" s="175">
        <v>25</v>
      </c>
      <c r="C11" s="175">
        <v>25</v>
      </c>
      <c r="D11" s="175">
        <v>25</v>
      </c>
      <c r="E11" s="175">
        <v>25</v>
      </c>
      <c r="F11" s="175"/>
      <c r="G11" s="175"/>
      <c r="H11" s="175"/>
      <c r="I11" s="175"/>
      <c r="J11" s="175"/>
      <c r="K11" s="175"/>
      <c r="L11" s="175"/>
      <c r="M11" s="175"/>
      <c r="N11" s="176">
        <f>AVERAGE(Table2[[#This Row],[ינואר 25]:[דצמבר 25]])</f>
        <v>25</v>
      </c>
      <c r="O11" s="177">
        <f>SUM(Table2[[#This Row],[ינואר 25]:[דצמבר 25]])</f>
        <v>100</v>
      </c>
    </row>
    <row r="12" spans="1:15">
      <c r="A12" s="15" t="s">
        <v>133</v>
      </c>
      <c r="B12" s="178">
        <v>14.85</v>
      </c>
      <c r="C12" s="178">
        <v>14.85</v>
      </c>
      <c r="D12" s="178">
        <v>24.75</v>
      </c>
      <c r="E12" s="178">
        <v>26.4</v>
      </c>
      <c r="F12" s="178"/>
      <c r="G12" s="178"/>
      <c r="H12" s="178"/>
      <c r="I12" s="178"/>
      <c r="J12" s="178"/>
      <c r="K12" s="178"/>
      <c r="L12" s="178"/>
      <c r="M12" s="178"/>
      <c r="N12" s="176">
        <f>AVERAGE(Table2[[#This Row],[ינואר 25]:[דצמבר 25]])</f>
        <v>20.212499999999999</v>
      </c>
      <c r="O12" s="177">
        <f>SUM(Table2[[#This Row],[ינואר 25]:[דצמבר 25]])</f>
        <v>80.849999999999994</v>
      </c>
    </row>
    <row r="13" spans="1:15">
      <c r="A13" s="15" t="s">
        <v>134</v>
      </c>
      <c r="B13" s="178">
        <v>606</v>
      </c>
      <c r="C13" s="178">
        <f>500+700+48.38+177+665+650+350</f>
        <v>3090.38</v>
      </c>
      <c r="D13" s="178">
        <v>6500</v>
      </c>
      <c r="E13" s="178">
        <v>2734.9</v>
      </c>
      <c r="F13" s="178"/>
      <c r="G13" s="178"/>
      <c r="H13" s="178"/>
      <c r="I13" s="178"/>
      <c r="J13" s="178"/>
      <c r="K13" s="178"/>
      <c r="L13" s="178"/>
      <c r="M13" s="178"/>
      <c r="N13" s="176"/>
      <c r="O13" s="177"/>
    </row>
    <row r="14" spans="1:15">
      <c r="A14" s="15" t="s">
        <v>135</v>
      </c>
      <c r="B14" s="178">
        <f>'קופה קטנה'!B43</f>
        <v>10766</v>
      </c>
      <c r="C14" s="178">
        <f>'קופה קטנה'!C43</f>
        <v>15050</v>
      </c>
      <c r="D14" s="178">
        <f>'קופה קטנה'!D43</f>
        <v>0</v>
      </c>
      <c r="E14" s="178">
        <f>'קופה קטנה'!E43</f>
        <v>0</v>
      </c>
      <c r="F14" s="178">
        <f>'קופה קטנה'!F43</f>
        <v>0</v>
      </c>
      <c r="G14" s="178">
        <f>'קופה קטנה'!G43</f>
        <v>0</v>
      </c>
      <c r="H14" s="178">
        <f>'קופה קטנה'!H43</f>
        <v>0</v>
      </c>
      <c r="I14" s="178">
        <f>'קופה קטנה'!I43</f>
        <v>0</v>
      </c>
      <c r="J14" s="178">
        <f>'קופה קטנה'!J43</f>
        <v>0</v>
      </c>
      <c r="K14" s="178">
        <f>'קופה קטנה'!K43</f>
        <v>0</v>
      </c>
      <c r="L14" s="178">
        <f>'קופה קטנה'!L43</f>
        <v>0</v>
      </c>
      <c r="M14" s="178">
        <f>'קופה קטנה'!M43</f>
        <v>0</v>
      </c>
      <c r="N14" s="176"/>
      <c r="O14" s="177"/>
    </row>
    <row r="15" spans="1:15">
      <c r="A15" s="15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6"/>
      <c r="O15" s="177"/>
    </row>
    <row r="16" spans="1:15">
      <c r="A16" s="16" t="s">
        <v>136</v>
      </c>
      <c r="B16" s="179">
        <f>SUM(B2:B13)</f>
        <v>19429.689999999999</v>
      </c>
      <c r="C16" s="179">
        <f>SUM(C2:C13)</f>
        <v>21339.96</v>
      </c>
      <c r="D16" s="179">
        <f>SUM(D2:D13)</f>
        <v>24783.27</v>
      </c>
      <c r="E16" s="179">
        <f>SUM(E2:E13)</f>
        <v>20271.580000000002</v>
      </c>
      <c r="F16" s="179">
        <f>SUM(F2:F13)</f>
        <v>0</v>
      </c>
      <c r="G16" s="179">
        <f>SUM(G2:G13)</f>
        <v>0</v>
      </c>
      <c r="H16" s="179">
        <f>SUM(H2:H13)</f>
        <v>0</v>
      </c>
      <c r="I16" s="179">
        <f>SUM(I2:I13)</f>
        <v>0</v>
      </c>
      <c r="J16" s="179">
        <f>SUM(J2:J13)</f>
        <v>0</v>
      </c>
      <c r="K16" s="179">
        <f>SUM(K2:K13)</f>
        <v>0</v>
      </c>
      <c r="L16" s="179">
        <f>SUM(L2:L13)</f>
        <v>0</v>
      </c>
      <c r="M16" s="179">
        <f>SUM(M2:M13)</f>
        <v>0</v>
      </c>
      <c r="N16" s="180">
        <f>AVERAGE(Table2[[#This Row],[ינואר 25]:[דצמבר 25]])</f>
        <v>7152.041666666667</v>
      </c>
      <c r="O16" s="181">
        <f>SUM(Table2[[#This Row],[ינואר 25]:[דצמבר 25]])</f>
        <v>85824.5</v>
      </c>
    </row>
    <row r="17" spans="1:15">
      <c r="A17" s="20" t="s">
        <v>137</v>
      </c>
      <c r="B17" s="179">
        <f>SUM(B14)</f>
        <v>10766</v>
      </c>
      <c r="C17" s="179">
        <f>SUM(C14)</f>
        <v>15050</v>
      </c>
      <c r="D17" s="179">
        <f>SUM(D14)</f>
        <v>0</v>
      </c>
      <c r="E17" s="179">
        <f>SUM(E14)</f>
        <v>0</v>
      </c>
      <c r="F17" s="179">
        <f>SUM(F14)</f>
        <v>0</v>
      </c>
      <c r="G17" s="179">
        <f>SUM(G14)</f>
        <v>0</v>
      </c>
      <c r="H17" s="179">
        <f>SUM(H14)</f>
        <v>0</v>
      </c>
      <c r="I17" s="179">
        <f>SUM(I14)</f>
        <v>0</v>
      </c>
      <c r="J17" s="179">
        <f>SUM(J14)</f>
        <v>0</v>
      </c>
      <c r="K17" s="179">
        <f>SUM(K14)</f>
        <v>0</v>
      </c>
      <c r="L17" s="179">
        <f>SUM(L14)</f>
        <v>0</v>
      </c>
      <c r="M17" s="179">
        <f>SUM(M14)</f>
        <v>0</v>
      </c>
      <c r="N17" s="176">
        <f>AVERAGE(Table2[[#This Row],[ינואר 25]:[דצמבר 25]])</f>
        <v>2151.3333333333335</v>
      </c>
      <c r="O17" s="177">
        <f>SUM(Table2[[#This Row],[ינואר 25]:[דצמבר 25]])</f>
        <v>25816</v>
      </c>
    </row>
    <row r="18" spans="1:15">
      <c r="A18" s="169" t="s">
        <v>138</v>
      </c>
      <c r="B18" s="179">
        <f>SUM(B16:B17)</f>
        <v>30195.69</v>
      </c>
      <c r="C18" s="179">
        <f>SUM(C16:C17)</f>
        <v>36389.96</v>
      </c>
      <c r="D18" s="179">
        <f>SUM(D16:D17)</f>
        <v>24783.27</v>
      </c>
      <c r="E18" s="179">
        <f>SUM(E16:E17)</f>
        <v>20271.580000000002</v>
      </c>
      <c r="F18" s="179">
        <f>SUM(F16:F17)</f>
        <v>0</v>
      </c>
      <c r="G18" s="179">
        <f>SUM(G16:G17)</f>
        <v>0</v>
      </c>
      <c r="H18" s="179">
        <f>SUM(H16:H17)</f>
        <v>0</v>
      </c>
      <c r="I18" s="179">
        <f>SUM(I16:I17)</f>
        <v>0</v>
      </c>
      <c r="J18" s="179">
        <f>SUM(J16:J17)</f>
        <v>0</v>
      </c>
      <c r="K18" s="179">
        <f>SUM(K16:K17)</f>
        <v>0</v>
      </c>
      <c r="L18" s="179">
        <f>SUM(L16:L17)</f>
        <v>0</v>
      </c>
      <c r="M18" s="179">
        <f>SUM(M16:M17)</f>
        <v>0</v>
      </c>
      <c r="N18" s="176">
        <f>AVERAGE(Table2[[#This Row],[ינואר 25]:[דצמבר 25]])</f>
        <v>9303.375</v>
      </c>
      <c r="O18" s="177">
        <f>SUM(Table2[[#This Row],[ינואר 25]:[דצמבר 25]])</f>
        <v>111640.5</v>
      </c>
    </row>
    <row r="19" spans="1:15">
      <c r="A19" s="169" t="s">
        <v>139</v>
      </c>
      <c r="B19" s="175">
        <f>'גביה 2026'!E62</f>
        <v>19570</v>
      </c>
      <c r="C19" s="175">
        <f>'גביה 2026'!F62</f>
        <v>19600</v>
      </c>
      <c r="D19" s="175">
        <f>'גביה 2026'!G62</f>
        <v>19250</v>
      </c>
      <c r="E19" s="175">
        <f>'גביה 2026'!H62</f>
        <v>18900</v>
      </c>
      <c r="F19" s="175">
        <f>'גביה 2026'!I62</f>
        <v>760</v>
      </c>
      <c r="G19" s="175">
        <f>'גביה 2026'!J62</f>
        <v>760</v>
      </c>
      <c r="H19" s="175">
        <f>'גביה 2026'!K62</f>
        <v>410</v>
      </c>
      <c r="I19" s="175">
        <f>'גביה 2026'!L62</f>
        <v>410</v>
      </c>
      <c r="J19" s="175">
        <f>'גביה 2026'!M62</f>
        <v>410</v>
      </c>
      <c r="K19" s="175">
        <f>'גביה 2026'!N62</f>
        <v>410</v>
      </c>
      <c r="L19" s="175">
        <f>'גביה 2026'!O62</f>
        <v>380</v>
      </c>
      <c r="M19" s="175">
        <f>'גביה 2026'!P62</f>
        <v>380</v>
      </c>
      <c r="N19" s="176">
        <f>AVERAGE(Table2[[#This Row],[ינואר 25]:[דצמבר 25]])</f>
        <v>6770</v>
      </c>
      <c r="O19" s="177">
        <f>SUM(Table2[[#This Row],[ינואר 25]:[דצמבר 25]])</f>
        <v>81240</v>
      </c>
    </row>
    <row r="20" spans="1:15">
      <c r="A20" s="169" t="s">
        <v>140</v>
      </c>
      <c r="B20" s="182">
        <f>B16/B19</f>
        <v>0.99283035258048025</v>
      </c>
      <c r="C20" s="182">
        <f>C16/C19</f>
        <v>1.0887734693877551</v>
      </c>
      <c r="D20" s="182">
        <f>D16/D19</f>
        <v>1.2874425974025974</v>
      </c>
      <c r="E20" s="182">
        <f>E16/E19</f>
        <v>1.0725703703703704</v>
      </c>
      <c r="F20" s="182">
        <f>F16/F19</f>
        <v>0</v>
      </c>
      <c r="G20" s="182">
        <f>G16/G19</f>
        <v>0</v>
      </c>
      <c r="H20" s="182">
        <f>H16/H19</f>
        <v>0</v>
      </c>
      <c r="I20" s="182">
        <f>I16/I19</f>
        <v>0</v>
      </c>
      <c r="J20" s="182">
        <f>J16/J19</f>
        <v>0</v>
      </c>
      <c r="K20" s="182">
        <f>K16/K19</f>
        <v>0</v>
      </c>
      <c r="L20" s="182">
        <f>L16/L19</f>
        <v>0</v>
      </c>
      <c r="M20" s="182">
        <f>M16/M19</f>
        <v>0</v>
      </c>
      <c r="N20" s="176">
        <f>AVERAGE(Table2[[#This Row],[ינואר 25]:[דצמבר 25]])</f>
        <v>0.37013473247843359</v>
      </c>
      <c r="O20" s="177">
        <f>SUM(Table2[[#This Row],[ינואר 25]:[דצמבר 25]])</f>
        <v>4.4416167897412029</v>
      </c>
    </row>
    <row r="23" spans="1:15" ht="57.75" customHeight="1">
      <c r="A23" s="169" t="s">
        <v>17</v>
      </c>
      <c r="B23" s="143" t="s">
        <v>141</v>
      </c>
      <c r="C23" s="143" t="s">
        <v>142</v>
      </c>
      <c r="D23" s="169" t="s">
        <v>143</v>
      </c>
      <c r="E23" s="169" t="s">
        <v>144</v>
      </c>
    </row>
    <row r="31" spans="1:15">
      <c r="A31" s="133" t="s">
        <v>145</v>
      </c>
      <c r="B31" s="183">
        <v>3418.26</v>
      </c>
      <c r="C31" s="183">
        <v>3709.15</v>
      </c>
      <c r="D31" s="183">
        <v>3132.7</v>
      </c>
      <c r="E31" s="183">
        <v>2419.6999999999998</v>
      </c>
      <c r="F31" s="183">
        <v>2815.9</v>
      </c>
      <c r="G31" s="183">
        <v>2654.16</v>
      </c>
      <c r="H31" s="183">
        <v>4136.59</v>
      </c>
      <c r="I31" s="183">
        <v>4659.1499999999996</v>
      </c>
      <c r="J31" s="183">
        <v>3864.61</v>
      </c>
      <c r="K31" s="183">
        <v>3852.93</v>
      </c>
      <c r="L31" s="183">
        <v>2405.7399999999998</v>
      </c>
      <c r="M31" s="183">
        <v>2342.94</v>
      </c>
      <c r="N31" s="184" t="e">
        <f>AVERAGE(Table2[[#This Row],[ינואר 25]:[דצמבר 25]])</f>
        <v>#VALUE!</v>
      </c>
      <c r="O31" s="185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style="169" bestFit="1" customWidth="1"/>
    <col min="3" max="3" width="14.28515625" style="169" bestFit="1" customWidth="1"/>
    <col min="5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148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152</v>
      </c>
      <c r="B7" s="129"/>
      <c r="C7" s="129" t="s">
        <v>153</v>
      </c>
      <c r="D7" s="129"/>
      <c r="E7" s="129" t="s">
        <v>154</v>
      </c>
      <c r="F7" s="129"/>
      <c r="G7" s="148"/>
      <c r="H7" s="148"/>
    </row>
    <row r="8" spans="1:8">
      <c r="A8" s="130"/>
      <c r="B8" s="130"/>
      <c r="C8" s="130"/>
      <c r="D8" s="130"/>
      <c r="E8" s="130"/>
      <c r="F8" s="130"/>
      <c r="G8" s="130"/>
      <c r="H8" s="130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29" t="s">
        <v>155</v>
      </c>
      <c r="B11" s="129"/>
      <c r="C11" s="129"/>
      <c r="D11" s="129"/>
      <c r="E11" s="129"/>
      <c r="F11" s="129"/>
      <c r="G11" s="129"/>
      <c r="H11" s="129"/>
    </row>
    <row r="12" spans="1:8">
      <c r="A12" s="129" t="s">
        <v>156</v>
      </c>
      <c r="B12" s="129" t="s">
        <v>157</v>
      </c>
      <c r="C12" s="129" t="s">
        <v>158</v>
      </c>
      <c r="D12" s="129" t="s">
        <v>159</v>
      </c>
      <c r="E12" s="129" t="s">
        <v>160</v>
      </c>
      <c r="F12" s="129" t="s">
        <v>161</v>
      </c>
      <c r="G12" s="129" t="s">
        <v>162</v>
      </c>
      <c r="H12" s="129" t="s">
        <v>163</v>
      </c>
    </row>
    <row r="13" spans="1:8" s="4" customFormat="1">
      <c r="A13" s="2">
        <v>46023</v>
      </c>
      <c r="B13" s="2">
        <v>46023</v>
      </c>
      <c r="C13" s="4" t="s">
        <v>164</v>
      </c>
      <c r="D13" s="4">
        <v>99012</v>
      </c>
      <c r="E13" s="4">
        <v>0</v>
      </c>
      <c r="F13" s="4">
        <v>320</v>
      </c>
      <c r="G13" s="3">
        <v>30014.31</v>
      </c>
      <c r="H13" s="4" t="s">
        <v>165</v>
      </c>
    </row>
    <row r="14" spans="1:8" s="1" customFormat="1">
      <c r="A14" s="122">
        <v>46023</v>
      </c>
      <c r="B14" s="122">
        <v>46023</v>
      </c>
      <c r="C14" s="120" t="s">
        <v>164</v>
      </c>
      <c r="D14" s="120">
        <v>99012</v>
      </c>
      <c r="E14" s="120">
        <v>0</v>
      </c>
      <c r="F14" s="120">
        <v>700</v>
      </c>
      <c r="G14" s="121">
        <v>30714.31</v>
      </c>
      <c r="H14" s="120" t="s">
        <v>166</v>
      </c>
    </row>
    <row r="15" spans="1:8" s="1" customFormat="1">
      <c r="A15" s="122">
        <v>46023</v>
      </c>
      <c r="B15" s="122">
        <v>46023</v>
      </c>
      <c r="C15" s="120" t="s">
        <v>167</v>
      </c>
      <c r="D15" s="120">
        <v>99031</v>
      </c>
      <c r="E15" s="120">
        <v>0</v>
      </c>
      <c r="F15" s="120">
        <v>500</v>
      </c>
      <c r="G15" s="121">
        <v>31214.31</v>
      </c>
      <c r="H15" s="120" t="s">
        <v>168</v>
      </c>
    </row>
    <row r="16" spans="1:8" s="4" customFormat="1">
      <c r="A16" s="2">
        <v>46023</v>
      </c>
      <c r="B16" s="2">
        <v>46023</v>
      </c>
      <c r="C16" s="4" t="s">
        <v>169</v>
      </c>
      <c r="D16" s="4">
        <v>4873628</v>
      </c>
      <c r="E16" s="4">
        <v>0</v>
      </c>
      <c r="F16" s="4">
        <v>350</v>
      </c>
      <c r="G16" s="3">
        <v>31564.31</v>
      </c>
      <c r="H16" s="4" t="s">
        <v>170</v>
      </c>
    </row>
    <row r="17" spans="1:8" s="17" customFormat="1">
      <c r="A17" s="18">
        <v>46023</v>
      </c>
      <c r="B17" s="18">
        <v>46023</v>
      </c>
      <c r="C17" s="17" t="s">
        <v>171</v>
      </c>
      <c r="D17" s="17">
        <v>44924</v>
      </c>
      <c r="E17" s="17">
        <v>25</v>
      </c>
      <c r="F17" s="17">
        <v>0</v>
      </c>
      <c r="G17" s="19">
        <v>31539.31</v>
      </c>
    </row>
    <row r="18" spans="1:8" s="17" customFormat="1">
      <c r="A18" s="18">
        <v>46023</v>
      </c>
      <c r="B18" s="18">
        <v>46023</v>
      </c>
      <c r="C18" s="17" t="s">
        <v>172</v>
      </c>
      <c r="D18" s="17">
        <v>9</v>
      </c>
      <c r="E18" s="17">
        <v>14.85</v>
      </c>
      <c r="F18" s="17">
        <v>0</v>
      </c>
      <c r="G18" s="19">
        <v>31524.46</v>
      </c>
      <c r="H18" s="17" t="s">
        <v>173</v>
      </c>
    </row>
    <row r="19" spans="1:8" s="17" customFormat="1">
      <c r="A19" s="18">
        <v>46023</v>
      </c>
      <c r="B19" s="18">
        <v>46023</v>
      </c>
      <c r="C19" s="17" t="s">
        <v>174</v>
      </c>
      <c r="D19" s="17">
        <v>2419</v>
      </c>
      <c r="E19" s="17">
        <v>606</v>
      </c>
      <c r="F19" s="17">
        <v>0</v>
      </c>
      <c r="G19" s="19">
        <v>30918.46</v>
      </c>
      <c r="H19" s="17" t="s">
        <v>175</v>
      </c>
    </row>
    <row r="20" spans="1:8" s="4" customFormat="1">
      <c r="A20" s="2">
        <v>46054</v>
      </c>
      <c r="B20" s="2">
        <v>46054</v>
      </c>
      <c r="C20" s="4" t="s">
        <v>164</v>
      </c>
      <c r="D20" s="4">
        <v>99012</v>
      </c>
      <c r="E20" s="4">
        <v>0</v>
      </c>
      <c r="F20" s="4">
        <v>350</v>
      </c>
      <c r="G20" s="3">
        <v>31268.46</v>
      </c>
      <c r="H20" s="4" t="s">
        <v>176</v>
      </c>
    </row>
    <row r="21" spans="1:8" s="4" customFormat="1">
      <c r="A21" s="2">
        <v>46054</v>
      </c>
      <c r="B21" s="2">
        <v>46054</v>
      </c>
      <c r="C21" s="4" t="s">
        <v>164</v>
      </c>
      <c r="D21" s="4">
        <v>99012</v>
      </c>
      <c r="E21" s="4">
        <v>0</v>
      </c>
      <c r="F21" s="4">
        <v>350</v>
      </c>
      <c r="G21" s="3">
        <v>31618.46</v>
      </c>
      <c r="H21" s="4" t="s">
        <v>177</v>
      </c>
    </row>
    <row r="22" spans="1:8" s="4" customFormat="1">
      <c r="A22" s="2">
        <v>46054</v>
      </c>
      <c r="B22" s="2">
        <v>46054</v>
      </c>
      <c r="C22" s="4" t="s">
        <v>169</v>
      </c>
      <c r="D22" s="4">
        <v>4668970</v>
      </c>
      <c r="E22" s="4">
        <v>0</v>
      </c>
      <c r="F22" s="4">
        <v>350</v>
      </c>
      <c r="G22" s="3">
        <v>31968.46</v>
      </c>
      <c r="H22" s="4" t="s">
        <v>178</v>
      </c>
    </row>
    <row r="23" spans="1:8" s="17" customFormat="1">
      <c r="A23" s="18">
        <v>46054</v>
      </c>
      <c r="B23" s="18">
        <v>46054</v>
      </c>
      <c r="C23" s="17" t="s">
        <v>179</v>
      </c>
      <c r="D23" s="17">
        <v>86770</v>
      </c>
      <c r="E23" s="19">
        <v>10266</v>
      </c>
      <c r="F23" s="17">
        <v>0</v>
      </c>
      <c r="G23" s="19">
        <v>21702.46</v>
      </c>
      <c r="H23" s="17" t="s">
        <v>180</v>
      </c>
    </row>
    <row r="24" spans="1:8" s="1" customFormat="1">
      <c r="A24" s="122">
        <v>46113</v>
      </c>
      <c r="B24" s="122">
        <v>46113</v>
      </c>
      <c r="C24" s="120" t="s">
        <v>181</v>
      </c>
      <c r="D24" s="120">
        <v>53458</v>
      </c>
      <c r="E24" s="120">
        <v>0</v>
      </c>
      <c r="F24" s="120">
        <v>320</v>
      </c>
      <c r="G24" s="121">
        <v>22022.46</v>
      </c>
      <c r="H24" s="123"/>
    </row>
    <row r="25" spans="1:8" s="1" customFormat="1">
      <c r="A25" s="122">
        <v>46113</v>
      </c>
      <c r="B25" s="122">
        <v>46113</v>
      </c>
      <c r="C25" s="120" t="s">
        <v>181</v>
      </c>
      <c r="D25" s="120">
        <v>120988</v>
      </c>
      <c r="E25" s="120">
        <v>0</v>
      </c>
      <c r="F25" s="120">
        <v>350</v>
      </c>
      <c r="G25" s="121">
        <v>22372.46</v>
      </c>
      <c r="H25" s="123"/>
    </row>
    <row r="26" spans="1:8" s="4" customFormat="1">
      <c r="A26" s="2">
        <v>46113</v>
      </c>
      <c r="B26" s="2">
        <v>46113</v>
      </c>
      <c r="C26" s="4" t="s">
        <v>169</v>
      </c>
      <c r="D26" s="4">
        <v>4878373</v>
      </c>
      <c r="E26" s="4">
        <v>0</v>
      </c>
      <c r="F26" s="4">
        <v>350</v>
      </c>
      <c r="G26" s="3">
        <v>22722.46</v>
      </c>
      <c r="H26" s="4" t="s">
        <v>182</v>
      </c>
    </row>
    <row r="27" spans="1:8" s="4" customFormat="1">
      <c r="A27" s="2">
        <v>46143</v>
      </c>
      <c r="B27" s="2">
        <v>46143</v>
      </c>
      <c r="C27" s="4" t="s">
        <v>183</v>
      </c>
      <c r="D27" s="4">
        <v>99011</v>
      </c>
      <c r="E27" s="4">
        <v>0</v>
      </c>
      <c r="F27" s="4">
        <v>320</v>
      </c>
      <c r="G27" s="3">
        <v>23042.46</v>
      </c>
      <c r="H27" s="4" t="s">
        <v>184</v>
      </c>
    </row>
    <row r="28" spans="1:8" s="4" customFormat="1">
      <c r="A28" s="2">
        <v>46143</v>
      </c>
      <c r="B28" s="2">
        <v>46143</v>
      </c>
      <c r="C28" s="4" t="s">
        <v>185</v>
      </c>
      <c r="D28" s="4">
        <v>99014</v>
      </c>
      <c r="E28" s="4">
        <v>0</v>
      </c>
      <c r="F28" s="4">
        <v>350</v>
      </c>
      <c r="G28" s="3">
        <v>23392.46</v>
      </c>
      <c r="H28" s="4" t="s">
        <v>186</v>
      </c>
    </row>
    <row r="29" spans="1:8" s="4" customFormat="1">
      <c r="A29" s="2">
        <v>46143</v>
      </c>
      <c r="B29" s="2">
        <v>46143</v>
      </c>
      <c r="C29" s="4" t="s">
        <v>169</v>
      </c>
      <c r="D29" s="4">
        <v>4789577</v>
      </c>
      <c r="E29" s="4">
        <v>0</v>
      </c>
      <c r="F29" s="4">
        <v>350</v>
      </c>
      <c r="G29" s="3">
        <v>23742.46</v>
      </c>
      <c r="H29" s="4" t="s">
        <v>187</v>
      </c>
    </row>
    <row r="30" spans="1:8" s="1" customFormat="1">
      <c r="A30" s="122">
        <v>46174</v>
      </c>
      <c r="B30" s="122">
        <v>46174</v>
      </c>
      <c r="C30" s="120" t="s">
        <v>164</v>
      </c>
      <c r="D30" s="120">
        <v>99012</v>
      </c>
      <c r="E30" s="120">
        <v>0</v>
      </c>
      <c r="F30" s="120">
        <v>350</v>
      </c>
      <c r="G30" s="121">
        <v>24092.46</v>
      </c>
      <c r="H30" s="120" t="s">
        <v>188</v>
      </c>
    </row>
    <row r="31" spans="1:8" s="4" customFormat="1">
      <c r="A31" s="2">
        <v>46174</v>
      </c>
      <c r="B31" s="2">
        <v>46174</v>
      </c>
      <c r="C31" s="4" t="s">
        <v>169</v>
      </c>
      <c r="D31" s="4">
        <v>4870113</v>
      </c>
      <c r="E31" s="4">
        <v>0</v>
      </c>
      <c r="F31" s="4">
        <v>350</v>
      </c>
      <c r="G31" s="3">
        <v>24442.46</v>
      </c>
      <c r="H31" s="4" t="s">
        <v>189</v>
      </c>
    </row>
    <row r="32" spans="1:8" s="1" customFormat="1">
      <c r="A32" s="122">
        <v>46204</v>
      </c>
      <c r="B32" s="122">
        <v>46204</v>
      </c>
      <c r="C32" s="120" t="s">
        <v>190</v>
      </c>
      <c r="D32" s="120">
        <v>99004</v>
      </c>
      <c r="E32" s="120">
        <v>0</v>
      </c>
      <c r="F32" s="120">
        <v>420</v>
      </c>
      <c r="G32" s="121">
        <v>24862.46</v>
      </c>
      <c r="H32" s="120" t="s">
        <v>191</v>
      </c>
    </row>
    <row r="33" spans="1:8" s="23" customFormat="1">
      <c r="A33" s="141">
        <v>46235</v>
      </c>
      <c r="B33" s="141">
        <v>46235</v>
      </c>
      <c r="C33" s="23" t="s">
        <v>192</v>
      </c>
      <c r="D33" s="23">
        <v>91456</v>
      </c>
      <c r="E33" s="23">
        <v>0</v>
      </c>
      <c r="F33" s="115">
        <v>17503.5</v>
      </c>
      <c r="G33" s="115">
        <v>42365.96</v>
      </c>
      <c r="H33" s="23" t="s">
        <v>193</v>
      </c>
    </row>
    <row r="34" spans="1:8" s="4" customFormat="1">
      <c r="A34" s="2">
        <v>46235</v>
      </c>
      <c r="B34" s="2">
        <v>46235</v>
      </c>
      <c r="C34" s="4" t="s">
        <v>164</v>
      </c>
      <c r="D34" s="4">
        <v>99012</v>
      </c>
      <c r="E34" s="4">
        <v>0</v>
      </c>
      <c r="F34" s="4">
        <v>350</v>
      </c>
      <c r="G34" s="3">
        <v>42715.96</v>
      </c>
      <c r="H34" s="4" t="s">
        <v>194</v>
      </c>
    </row>
    <row r="35" spans="1:8" s="4" customFormat="1">
      <c r="A35" s="2">
        <v>46266</v>
      </c>
      <c r="B35" s="2">
        <v>46266</v>
      </c>
      <c r="C35" s="4" t="s">
        <v>164</v>
      </c>
      <c r="D35" s="4">
        <v>99012</v>
      </c>
      <c r="E35" s="4">
        <v>0</v>
      </c>
      <c r="F35" s="4">
        <v>320</v>
      </c>
      <c r="G35" s="3">
        <v>43035.96</v>
      </c>
      <c r="H35" s="4" t="s">
        <v>195</v>
      </c>
    </row>
    <row r="36" spans="1:8" s="4" customFormat="1">
      <c r="A36" s="2">
        <v>46266</v>
      </c>
      <c r="B36" s="2">
        <v>46266</v>
      </c>
      <c r="C36" s="4" t="s">
        <v>164</v>
      </c>
      <c r="D36" s="4">
        <v>99012</v>
      </c>
      <c r="E36" s="4">
        <v>0</v>
      </c>
      <c r="F36" s="4">
        <v>350</v>
      </c>
      <c r="G36" s="3">
        <v>43385.96</v>
      </c>
      <c r="H36" s="4" t="s">
        <v>196</v>
      </c>
    </row>
    <row r="37" spans="1:8" s="4" customFormat="1">
      <c r="A37" s="2">
        <v>46266</v>
      </c>
      <c r="B37" s="2">
        <v>46266</v>
      </c>
      <c r="C37" s="4" t="s">
        <v>164</v>
      </c>
      <c r="D37" s="4">
        <v>99012</v>
      </c>
      <c r="E37" s="4">
        <v>0</v>
      </c>
      <c r="F37" s="4">
        <v>350</v>
      </c>
      <c r="G37" s="3">
        <v>43735.96</v>
      </c>
      <c r="H37" s="4" t="s">
        <v>197</v>
      </c>
    </row>
    <row r="38" spans="1:8" s="4" customFormat="1">
      <c r="A38" s="2">
        <v>46266</v>
      </c>
      <c r="B38" s="2">
        <v>46266</v>
      </c>
      <c r="C38" s="4" t="s">
        <v>164</v>
      </c>
      <c r="D38" s="4">
        <v>99012</v>
      </c>
      <c r="E38" s="4">
        <v>0</v>
      </c>
      <c r="F38" s="4">
        <v>350</v>
      </c>
      <c r="G38" s="3">
        <v>44085.96</v>
      </c>
      <c r="H38" s="4" t="s">
        <v>198</v>
      </c>
    </row>
    <row r="39" spans="1:8" s="4" customFormat="1">
      <c r="A39" s="2">
        <v>46266</v>
      </c>
      <c r="B39" s="2">
        <v>46266</v>
      </c>
      <c r="C39" s="4" t="s">
        <v>164</v>
      </c>
      <c r="D39" s="4">
        <v>99012</v>
      </c>
      <c r="E39" s="4">
        <v>0</v>
      </c>
      <c r="F39" s="4">
        <v>350</v>
      </c>
      <c r="G39" s="3">
        <v>44435.96</v>
      </c>
      <c r="H39" s="4" t="s">
        <v>199</v>
      </c>
    </row>
    <row r="40" spans="1:8" s="4" customFormat="1">
      <c r="A40" s="2">
        <v>46266</v>
      </c>
      <c r="B40" s="2">
        <v>46266</v>
      </c>
      <c r="C40" s="4" t="s">
        <v>169</v>
      </c>
      <c r="D40" s="4">
        <v>4763312</v>
      </c>
      <c r="E40" s="4">
        <v>0</v>
      </c>
      <c r="F40" s="4">
        <v>350</v>
      </c>
      <c r="G40" s="3">
        <v>44785.96</v>
      </c>
      <c r="H40" s="4" t="s">
        <v>200</v>
      </c>
    </row>
    <row r="41" spans="1:8" s="4" customFormat="1">
      <c r="A41" s="2">
        <v>46266</v>
      </c>
      <c r="B41" s="2">
        <v>46266</v>
      </c>
      <c r="C41" s="4" t="s">
        <v>169</v>
      </c>
      <c r="D41" s="4">
        <v>4899758</v>
      </c>
      <c r="E41" s="4">
        <v>0</v>
      </c>
      <c r="F41" s="4">
        <v>350</v>
      </c>
      <c r="G41" s="3">
        <v>45135.96</v>
      </c>
      <c r="H41" s="4" t="s">
        <v>201</v>
      </c>
    </row>
    <row r="42" spans="1:8" s="17" customFormat="1">
      <c r="A42" s="18">
        <v>46327</v>
      </c>
      <c r="B42" s="18">
        <v>46327</v>
      </c>
      <c r="C42" s="17" t="s">
        <v>202</v>
      </c>
      <c r="D42" s="17">
        <v>44855</v>
      </c>
      <c r="E42" s="17">
        <v>981</v>
      </c>
      <c r="F42" s="17">
        <v>0</v>
      </c>
      <c r="G42" s="19">
        <v>44154.96</v>
      </c>
    </row>
    <row r="43" spans="1:8" s="4" customFormat="1">
      <c r="A43" s="2">
        <v>46327</v>
      </c>
      <c r="B43" s="2">
        <v>46327</v>
      </c>
      <c r="C43" s="4" t="s">
        <v>183</v>
      </c>
      <c r="D43" s="4">
        <v>99011</v>
      </c>
      <c r="E43" s="4">
        <v>0</v>
      </c>
      <c r="F43" s="4">
        <v>350</v>
      </c>
      <c r="G43" s="3">
        <v>44504.959999999999</v>
      </c>
      <c r="H43" s="4" t="s">
        <v>203</v>
      </c>
    </row>
    <row r="44" spans="1:8" s="4" customFormat="1">
      <c r="A44" s="2">
        <v>46327</v>
      </c>
      <c r="B44" s="2">
        <v>46327</v>
      </c>
      <c r="C44" s="4" t="s">
        <v>183</v>
      </c>
      <c r="D44" s="4">
        <v>99011</v>
      </c>
      <c r="E44" s="4">
        <v>0</v>
      </c>
      <c r="F44" s="4">
        <v>350</v>
      </c>
      <c r="G44" s="3">
        <v>44854.96</v>
      </c>
      <c r="H44" s="4" t="s">
        <v>204</v>
      </c>
    </row>
    <row r="45" spans="1:8" s="4" customFormat="1">
      <c r="A45" s="2">
        <v>46327</v>
      </c>
      <c r="B45" s="2">
        <v>46327</v>
      </c>
      <c r="C45" s="4" t="s">
        <v>183</v>
      </c>
      <c r="D45" s="4">
        <v>99011</v>
      </c>
      <c r="E45" s="4">
        <v>0</v>
      </c>
      <c r="F45" s="4">
        <v>350</v>
      </c>
      <c r="G45" s="3">
        <v>45204.959999999999</v>
      </c>
      <c r="H45" s="4" t="s">
        <v>205</v>
      </c>
    </row>
    <row r="46" spans="1:8" s="4" customFormat="1">
      <c r="A46" s="2">
        <v>46327</v>
      </c>
      <c r="B46" s="2">
        <v>46327</v>
      </c>
      <c r="C46" s="4" t="s">
        <v>185</v>
      </c>
      <c r="D46" s="4">
        <v>99014</v>
      </c>
      <c r="E46" s="4">
        <v>0</v>
      </c>
      <c r="F46" s="4">
        <v>350</v>
      </c>
      <c r="G46" s="3">
        <v>45554.96</v>
      </c>
      <c r="H46" s="4" t="s">
        <v>206</v>
      </c>
    </row>
    <row r="47" spans="1:8" s="4" customFormat="1">
      <c r="A47" s="2">
        <v>46327</v>
      </c>
      <c r="B47" s="2">
        <v>46327</v>
      </c>
      <c r="C47" s="4" t="s">
        <v>185</v>
      </c>
      <c r="D47" s="4">
        <v>99014</v>
      </c>
      <c r="E47" s="4">
        <v>0</v>
      </c>
      <c r="F47" s="4">
        <v>350</v>
      </c>
      <c r="G47" s="3">
        <v>45904.959999999999</v>
      </c>
      <c r="H47" s="4" t="s">
        <v>207</v>
      </c>
    </row>
    <row r="48" spans="1:8" s="4" customFormat="1">
      <c r="A48" s="2">
        <v>46327</v>
      </c>
      <c r="B48" s="2">
        <v>46327</v>
      </c>
      <c r="C48" s="4" t="s">
        <v>185</v>
      </c>
      <c r="D48" s="4">
        <v>99014</v>
      </c>
      <c r="E48" s="4">
        <v>0</v>
      </c>
      <c r="F48" s="4">
        <v>350</v>
      </c>
      <c r="G48" s="3">
        <v>46254.96</v>
      </c>
      <c r="H48" s="4" t="s">
        <v>208</v>
      </c>
    </row>
    <row r="49" spans="1:8" s="4" customFormat="1">
      <c r="A49" s="2">
        <v>46327</v>
      </c>
      <c r="B49" s="2">
        <v>46327</v>
      </c>
      <c r="C49" s="4" t="s">
        <v>209</v>
      </c>
      <c r="D49" s="4">
        <v>99020</v>
      </c>
      <c r="E49" s="4">
        <v>0</v>
      </c>
      <c r="F49" s="4">
        <v>350</v>
      </c>
      <c r="G49" s="3">
        <v>46604.959999999999</v>
      </c>
      <c r="H49" s="4" t="s">
        <v>210</v>
      </c>
    </row>
    <row r="50" spans="1:8" s="4" customFormat="1">
      <c r="A50" s="2">
        <v>46327</v>
      </c>
      <c r="B50" s="2">
        <v>46327</v>
      </c>
      <c r="C50" s="4" t="s">
        <v>169</v>
      </c>
      <c r="D50" s="4">
        <v>4509096</v>
      </c>
      <c r="E50" s="4">
        <v>0</v>
      </c>
      <c r="F50" s="4">
        <v>320</v>
      </c>
      <c r="G50" s="3">
        <v>46924.959999999999</v>
      </c>
      <c r="H50" s="4" t="s">
        <v>211</v>
      </c>
    </row>
    <row r="51" spans="1:8" s="4" customFormat="1">
      <c r="A51" s="2">
        <v>46327</v>
      </c>
      <c r="B51" s="2">
        <v>46327</v>
      </c>
      <c r="C51" s="4" t="s">
        <v>169</v>
      </c>
      <c r="D51" s="4">
        <v>4512636</v>
      </c>
      <c r="E51" s="4">
        <v>0</v>
      </c>
      <c r="F51" s="4">
        <v>350</v>
      </c>
      <c r="G51" s="3">
        <v>47274.96</v>
      </c>
      <c r="H51" s="4" t="s">
        <v>212</v>
      </c>
    </row>
    <row r="52" spans="1:8" s="17" customFormat="1">
      <c r="A52" s="18">
        <v>46327</v>
      </c>
      <c r="B52" s="18">
        <v>46327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46494.85</v>
      </c>
      <c r="H52" s="17" t="s">
        <v>213</v>
      </c>
    </row>
    <row r="53" spans="1:8" s="4" customFormat="1">
      <c r="A53" s="2">
        <v>46327</v>
      </c>
      <c r="B53" s="2">
        <v>46327</v>
      </c>
      <c r="C53" s="4" t="s">
        <v>169</v>
      </c>
      <c r="D53" s="4">
        <v>4875354</v>
      </c>
      <c r="E53" s="4">
        <v>0</v>
      </c>
      <c r="F53" s="4">
        <v>350</v>
      </c>
      <c r="G53" s="3">
        <v>46844.85</v>
      </c>
      <c r="H53" s="4" t="s">
        <v>214</v>
      </c>
    </row>
    <row r="54" spans="1:8" s="4" customFormat="1">
      <c r="A54" s="2">
        <v>46327</v>
      </c>
      <c r="B54" s="2">
        <v>46327</v>
      </c>
      <c r="C54" s="4" t="s">
        <v>169</v>
      </c>
      <c r="D54" s="4">
        <v>4883868</v>
      </c>
      <c r="E54" s="4">
        <v>0</v>
      </c>
      <c r="F54" s="4">
        <v>350</v>
      </c>
      <c r="G54" s="3">
        <v>47194.85</v>
      </c>
      <c r="H54" s="4" t="s">
        <v>215</v>
      </c>
    </row>
    <row r="55" spans="1:8" s="4" customFormat="1">
      <c r="A55" s="2">
        <v>46327</v>
      </c>
      <c r="B55" s="2">
        <v>46327</v>
      </c>
      <c r="C55" s="4" t="s">
        <v>169</v>
      </c>
      <c r="D55" s="4">
        <v>4908474</v>
      </c>
      <c r="E55" s="4">
        <v>0</v>
      </c>
      <c r="F55" s="4">
        <v>350</v>
      </c>
      <c r="G55" s="3">
        <v>47544.85</v>
      </c>
      <c r="H55" s="4" t="s">
        <v>216</v>
      </c>
    </row>
    <row r="56" spans="1:8" s="17" customFormat="1">
      <c r="A56" s="18">
        <v>46327</v>
      </c>
      <c r="B56" s="18">
        <v>46327</v>
      </c>
      <c r="C56" s="17" t="s">
        <v>179</v>
      </c>
      <c r="D56" s="17">
        <v>256526</v>
      </c>
      <c r="E56" s="19">
        <v>7500</v>
      </c>
      <c r="F56" s="17">
        <v>0</v>
      </c>
      <c r="G56" s="19">
        <v>40044.85</v>
      </c>
      <c r="H56" s="17" t="s">
        <v>217</v>
      </c>
    </row>
    <row r="57" spans="1:8" s="4" customFormat="1">
      <c r="A57" s="2">
        <v>46357</v>
      </c>
      <c r="B57" s="2">
        <v>46357</v>
      </c>
      <c r="C57" s="4" t="s">
        <v>183</v>
      </c>
      <c r="D57" s="4">
        <v>99011</v>
      </c>
      <c r="E57" s="4">
        <v>0</v>
      </c>
      <c r="F57" s="4">
        <v>350</v>
      </c>
      <c r="G57" s="3">
        <v>40394.85</v>
      </c>
      <c r="H57" s="4" t="s">
        <v>218</v>
      </c>
    </row>
    <row r="58" spans="1:8" s="4" customFormat="1">
      <c r="A58" s="2">
        <v>46357</v>
      </c>
      <c r="B58" s="2">
        <v>46357</v>
      </c>
      <c r="C58" s="4" t="s">
        <v>179</v>
      </c>
      <c r="D58" s="4">
        <v>202375</v>
      </c>
      <c r="E58" s="4">
        <v>0</v>
      </c>
      <c r="F58" s="4">
        <v>350</v>
      </c>
      <c r="G58" s="3">
        <v>40744.85</v>
      </c>
      <c r="H58" s="4" t="s">
        <v>219</v>
      </c>
    </row>
    <row r="59" spans="1:8" s="4" customFormat="1">
      <c r="A59" s="4" t="s">
        <v>220</v>
      </c>
      <c r="B59" s="4" t="s">
        <v>220</v>
      </c>
      <c r="C59" s="4" t="s">
        <v>185</v>
      </c>
      <c r="D59" s="4">
        <v>99014</v>
      </c>
      <c r="E59" s="4">
        <v>0</v>
      </c>
      <c r="F59" s="4">
        <v>350</v>
      </c>
      <c r="G59" s="3">
        <v>41094.85</v>
      </c>
      <c r="H59" s="4" t="s">
        <v>221</v>
      </c>
    </row>
    <row r="60" spans="1:8" s="4" customFormat="1">
      <c r="A60" s="4" t="s">
        <v>220</v>
      </c>
      <c r="B60" s="4" t="s">
        <v>220</v>
      </c>
      <c r="C60" s="4" t="s">
        <v>167</v>
      </c>
      <c r="D60" s="4">
        <v>99031</v>
      </c>
      <c r="E60" s="4">
        <v>0</v>
      </c>
      <c r="F60" s="4">
        <v>350</v>
      </c>
      <c r="G60" s="3">
        <v>41444.85</v>
      </c>
      <c r="H60" s="4" t="s">
        <v>222</v>
      </c>
    </row>
    <row r="61" spans="1:8" s="4" customFormat="1">
      <c r="A61" s="4" t="s">
        <v>223</v>
      </c>
      <c r="B61" s="4" t="s">
        <v>223</v>
      </c>
      <c r="C61" s="4" t="s">
        <v>190</v>
      </c>
      <c r="D61" s="4">
        <v>99004</v>
      </c>
      <c r="E61" s="4">
        <v>0</v>
      </c>
      <c r="F61" s="4">
        <v>350</v>
      </c>
      <c r="G61" s="3">
        <v>41794.85</v>
      </c>
      <c r="H61" s="4" t="s">
        <v>224</v>
      </c>
    </row>
    <row r="62" spans="1:8" s="4" customFormat="1">
      <c r="A62" s="4" t="s">
        <v>223</v>
      </c>
      <c r="B62" s="4" t="s">
        <v>223</v>
      </c>
      <c r="C62" s="4" t="s">
        <v>164</v>
      </c>
      <c r="D62" s="4">
        <v>99012</v>
      </c>
      <c r="E62" s="4">
        <v>0</v>
      </c>
      <c r="F62" s="4">
        <v>350</v>
      </c>
      <c r="G62" s="3">
        <v>42144.85</v>
      </c>
      <c r="H62" s="4" t="s">
        <v>225</v>
      </c>
    </row>
    <row r="63" spans="1:8" s="4" customFormat="1">
      <c r="A63" s="4" t="s">
        <v>223</v>
      </c>
      <c r="B63" s="4" t="s">
        <v>223</v>
      </c>
      <c r="C63" s="4" t="s">
        <v>209</v>
      </c>
      <c r="D63" s="4">
        <v>99020</v>
      </c>
      <c r="E63" s="4">
        <v>0</v>
      </c>
      <c r="F63" s="4">
        <v>350</v>
      </c>
      <c r="G63" s="3">
        <v>42494.85</v>
      </c>
      <c r="H63" s="4" t="s">
        <v>226</v>
      </c>
    </row>
    <row r="64" spans="1:8" s="4" customFormat="1">
      <c r="A64" s="4" t="s">
        <v>223</v>
      </c>
      <c r="B64" s="4" t="s">
        <v>223</v>
      </c>
      <c r="C64" s="4" t="s">
        <v>169</v>
      </c>
      <c r="D64" s="4">
        <v>4795693</v>
      </c>
      <c r="E64" s="4">
        <v>0</v>
      </c>
      <c r="F64" s="4">
        <v>350</v>
      </c>
      <c r="G64" s="3">
        <v>42844.85</v>
      </c>
      <c r="H64" s="4" t="s">
        <v>227</v>
      </c>
    </row>
    <row r="65" spans="1:8" s="4" customFormat="1">
      <c r="A65" s="4" t="s">
        <v>223</v>
      </c>
      <c r="B65" s="4" t="s">
        <v>223</v>
      </c>
      <c r="C65" s="4" t="s">
        <v>169</v>
      </c>
      <c r="D65" s="4">
        <v>4865441</v>
      </c>
      <c r="E65" s="4">
        <v>0</v>
      </c>
      <c r="F65" s="4">
        <v>350</v>
      </c>
      <c r="G65" s="3">
        <v>43194.85</v>
      </c>
      <c r="H65" s="4" t="s">
        <v>228</v>
      </c>
    </row>
    <row r="66" spans="1:8" s="4" customFormat="1">
      <c r="A66" s="4" t="s">
        <v>223</v>
      </c>
      <c r="B66" s="4" t="s">
        <v>223</v>
      </c>
      <c r="C66" s="4" t="s">
        <v>169</v>
      </c>
      <c r="D66" s="4">
        <v>4865951</v>
      </c>
      <c r="E66" s="4">
        <v>0</v>
      </c>
      <c r="F66" s="4">
        <v>350</v>
      </c>
      <c r="G66" s="3">
        <v>43544.85</v>
      </c>
      <c r="H66" s="4" t="s">
        <v>229</v>
      </c>
    </row>
    <row r="67" spans="1:8" s="4" customFormat="1">
      <c r="A67" s="4" t="s">
        <v>223</v>
      </c>
      <c r="B67" s="4" t="s">
        <v>223</v>
      </c>
      <c r="C67" s="4" t="s">
        <v>169</v>
      </c>
      <c r="D67" s="4">
        <v>4870920</v>
      </c>
      <c r="E67" s="4">
        <v>0</v>
      </c>
      <c r="F67" s="4">
        <v>350</v>
      </c>
      <c r="G67" s="3">
        <v>43894.85</v>
      </c>
      <c r="H67" s="4" t="s">
        <v>230</v>
      </c>
    </row>
    <row r="68" spans="1:8" s="4" customFormat="1">
      <c r="A68" s="4" t="s">
        <v>223</v>
      </c>
      <c r="B68" s="4" t="s">
        <v>223</v>
      </c>
      <c r="C68" s="4" t="s">
        <v>169</v>
      </c>
      <c r="D68" s="4">
        <v>4882283</v>
      </c>
      <c r="E68" s="4">
        <v>0</v>
      </c>
      <c r="F68" s="4">
        <v>350</v>
      </c>
      <c r="G68" s="3">
        <v>44244.85</v>
      </c>
      <c r="H68" s="4" t="s">
        <v>231</v>
      </c>
    </row>
    <row r="69" spans="1:8" s="4" customFormat="1">
      <c r="A69" s="4" t="s">
        <v>232</v>
      </c>
      <c r="B69" s="4" t="s">
        <v>232</v>
      </c>
      <c r="C69" s="4" t="s">
        <v>164</v>
      </c>
      <c r="D69" s="4">
        <v>99012</v>
      </c>
      <c r="E69" s="4">
        <v>0</v>
      </c>
      <c r="F69" s="4">
        <v>350</v>
      </c>
      <c r="G69" s="3">
        <v>44594.85</v>
      </c>
      <c r="H69" s="4" t="s">
        <v>233</v>
      </c>
    </row>
    <row r="70" spans="1:8" s="17" customFormat="1">
      <c r="A70" s="17" t="s">
        <v>234</v>
      </c>
      <c r="B70" s="17" t="s">
        <v>234</v>
      </c>
      <c r="C70" s="17" t="s">
        <v>235</v>
      </c>
      <c r="D70" s="17">
        <v>706</v>
      </c>
      <c r="E70" s="19">
        <v>3545.6</v>
      </c>
      <c r="F70" s="17">
        <v>0</v>
      </c>
      <c r="G70" s="19">
        <v>41049.25</v>
      </c>
    </row>
    <row r="71" spans="1:8" s="17" customFormat="1">
      <c r="A71" s="17" t="s">
        <v>234</v>
      </c>
      <c r="B71" s="17" t="s">
        <v>234</v>
      </c>
      <c r="C71" s="17" t="s">
        <v>236</v>
      </c>
      <c r="D71" s="17">
        <v>31274</v>
      </c>
      <c r="E71" s="17">
        <v>90.77</v>
      </c>
      <c r="F71" s="17">
        <v>0</v>
      </c>
      <c r="G71" s="19">
        <v>40958.480000000003</v>
      </c>
    </row>
    <row r="72" spans="1:8" s="4" customFormat="1">
      <c r="A72" s="4" t="s">
        <v>234</v>
      </c>
      <c r="B72" s="4" t="s">
        <v>234</v>
      </c>
      <c r="C72" s="4" t="s">
        <v>179</v>
      </c>
      <c r="D72" s="4">
        <v>85794</v>
      </c>
      <c r="E72" s="4">
        <v>0</v>
      </c>
      <c r="F72" s="4">
        <v>350</v>
      </c>
      <c r="G72" s="3">
        <v>41308.480000000003</v>
      </c>
      <c r="H72" s="4" t="s">
        <v>237</v>
      </c>
    </row>
    <row r="73" spans="1:8" s="17" customFormat="1">
      <c r="A73" s="17" t="s">
        <v>238</v>
      </c>
      <c r="B73" s="17" t="s">
        <v>238</v>
      </c>
      <c r="C73" s="17" t="s">
        <v>239</v>
      </c>
      <c r="D73" s="17">
        <v>703</v>
      </c>
      <c r="E73" s="17">
        <v>24.57</v>
      </c>
      <c r="F73" s="17">
        <v>0</v>
      </c>
      <c r="G73" s="19">
        <v>41283.910000000003</v>
      </c>
    </row>
    <row r="74" spans="1:8" s="4" customFormat="1">
      <c r="A74" s="4" t="s">
        <v>238</v>
      </c>
      <c r="B74" s="4" t="s">
        <v>238</v>
      </c>
      <c r="C74" s="4" t="s">
        <v>240</v>
      </c>
      <c r="D74" s="4">
        <v>99017</v>
      </c>
      <c r="E74" s="4">
        <v>0</v>
      </c>
      <c r="F74" s="4">
        <v>320</v>
      </c>
      <c r="G74" s="3">
        <v>41603.910000000003</v>
      </c>
      <c r="H74" s="4" t="s">
        <v>241</v>
      </c>
    </row>
    <row r="75" spans="1:8" s="4" customFormat="1">
      <c r="A75" s="4" t="s">
        <v>238</v>
      </c>
      <c r="B75" s="4" t="s">
        <v>238</v>
      </c>
      <c r="C75" s="4" t="s">
        <v>179</v>
      </c>
      <c r="D75" s="4">
        <v>127532</v>
      </c>
      <c r="E75" s="4">
        <v>0</v>
      </c>
      <c r="F75" s="4">
        <v>350</v>
      </c>
      <c r="G75" s="3">
        <v>41953.91</v>
      </c>
      <c r="H75" s="4" t="s">
        <v>242</v>
      </c>
    </row>
    <row r="76" spans="1:8" s="4" customFormat="1">
      <c r="A76" s="4" t="s">
        <v>243</v>
      </c>
      <c r="B76" s="4" t="s">
        <v>243</v>
      </c>
      <c r="C76" s="4" t="s">
        <v>169</v>
      </c>
      <c r="D76" s="4">
        <v>4837872</v>
      </c>
      <c r="E76" s="4">
        <v>0</v>
      </c>
      <c r="F76" s="4">
        <v>350</v>
      </c>
      <c r="G76" s="3">
        <v>42303.91</v>
      </c>
      <c r="H76" s="4" t="s">
        <v>244</v>
      </c>
    </row>
    <row r="77" spans="1:8" s="17" customFormat="1">
      <c r="A77" s="17" t="s">
        <v>245</v>
      </c>
      <c r="B77" s="17" t="s">
        <v>245</v>
      </c>
      <c r="C77" s="17" t="s">
        <v>246</v>
      </c>
      <c r="D77" s="17">
        <v>1086</v>
      </c>
      <c r="E77" s="19">
        <v>4361.79</v>
      </c>
      <c r="F77" s="17">
        <v>0</v>
      </c>
      <c r="G77" s="19">
        <v>37942.120000000003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9">
      <c r="A1" s="205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7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7" t="s">
        <v>247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08"/>
      <c r="B4" s="197"/>
      <c r="C4" s="197"/>
      <c r="D4" s="197"/>
      <c r="E4" s="197"/>
      <c r="F4" s="197"/>
      <c r="G4" s="197"/>
      <c r="H4" s="197"/>
      <c r="I4" s="197"/>
    </row>
    <row r="5" spans="1:9" ht="15.75" customHeight="1">
      <c r="A5" s="201" t="s">
        <v>149</v>
      </c>
      <c r="B5" s="197"/>
      <c r="C5" s="200" t="s">
        <v>150</v>
      </c>
      <c r="D5" s="197"/>
      <c r="E5" s="206" t="s">
        <v>151</v>
      </c>
      <c r="F5" s="197"/>
      <c r="G5" s="148"/>
      <c r="H5" s="148"/>
      <c r="I5" s="148"/>
    </row>
    <row r="6" spans="1:9">
      <c r="A6" s="207"/>
      <c r="B6" s="197"/>
      <c r="C6" s="202"/>
      <c r="D6" s="197"/>
      <c r="E6" s="199"/>
      <c r="F6" s="197"/>
      <c r="G6" s="148"/>
      <c r="H6" s="148"/>
      <c r="I6" s="148"/>
    </row>
    <row r="7" spans="1:9">
      <c r="A7" s="204" t="s">
        <v>248</v>
      </c>
      <c r="B7" s="197"/>
      <c r="C7" s="203" t="s">
        <v>153</v>
      </c>
      <c r="D7" s="197"/>
      <c r="E7" s="198" t="s">
        <v>249</v>
      </c>
      <c r="F7" s="197"/>
      <c r="G7" s="148"/>
      <c r="H7" s="148"/>
      <c r="I7" s="148"/>
    </row>
    <row r="8" spans="1:9">
      <c r="A8" s="204" t="s">
        <v>250</v>
      </c>
      <c r="B8" s="197"/>
      <c r="C8" s="202"/>
      <c r="D8" s="197"/>
      <c r="E8" s="199"/>
      <c r="F8" s="197"/>
      <c r="G8" s="148"/>
      <c r="H8" s="148"/>
      <c r="I8" s="148"/>
    </row>
    <row r="9" spans="1:9">
      <c r="A9" s="196"/>
      <c r="B9" s="197"/>
      <c r="C9" s="197"/>
      <c r="D9" s="197"/>
      <c r="E9" s="197"/>
      <c r="F9" s="197"/>
      <c r="G9" s="197"/>
      <c r="H9" s="197"/>
      <c r="I9" s="197"/>
    </row>
    <row r="10" spans="1:9">
      <c r="A10" s="196"/>
      <c r="B10" s="197"/>
      <c r="C10" s="197"/>
      <c r="D10" s="197"/>
      <c r="E10" s="197"/>
      <c r="F10" s="197"/>
      <c r="G10" s="197"/>
      <c r="H10" s="197"/>
      <c r="I10" s="197"/>
    </row>
    <row r="11" spans="1:9" s="4" customFormat="1">
      <c r="A11" s="2">
        <v>46024</v>
      </c>
      <c r="B11" s="2">
        <v>46024</v>
      </c>
      <c r="C11" s="4" t="s">
        <v>164</v>
      </c>
      <c r="D11" s="4">
        <v>99012</v>
      </c>
      <c r="E11" s="4">
        <v>0</v>
      </c>
      <c r="F11" s="4">
        <v>320</v>
      </c>
      <c r="G11" s="3">
        <v>38262.120000000003</v>
      </c>
      <c r="H11" s="4" t="s">
        <v>165</v>
      </c>
    </row>
    <row r="12" spans="1:9" s="4" customFormat="1">
      <c r="A12" s="2">
        <v>46024</v>
      </c>
      <c r="B12" s="2">
        <v>46024</v>
      </c>
      <c r="C12" s="4" t="s">
        <v>209</v>
      </c>
      <c r="D12" s="4">
        <v>99020</v>
      </c>
      <c r="E12" s="4">
        <v>0</v>
      </c>
      <c r="F12" s="4">
        <v>350</v>
      </c>
      <c r="G12" s="3">
        <v>38612.120000000003</v>
      </c>
      <c r="H12" s="4" t="s">
        <v>251</v>
      </c>
    </row>
    <row r="13" spans="1:9" s="4" customFormat="1">
      <c r="A13" s="2">
        <v>46024</v>
      </c>
      <c r="B13" s="2">
        <v>46024</v>
      </c>
      <c r="C13" s="4" t="s">
        <v>169</v>
      </c>
      <c r="D13" s="4">
        <v>4873628</v>
      </c>
      <c r="E13" s="4">
        <v>0</v>
      </c>
      <c r="F13" s="4">
        <v>350</v>
      </c>
      <c r="G13" s="3">
        <v>38962.120000000003</v>
      </c>
      <c r="H13" s="4" t="s">
        <v>170</v>
      </c>
    </row>
    <row r="14" spans="1:9" s="17" customFormat="1">
      <c r="A14" s="18">
        <v>46024</v>
      </c>
      <c r="B14" s="18">
        <v>46024</v>
      </c>
      <c r="C14" s="17" t="s">
        <v>171</v>
      </c>
      <c r="D14" s="17">
        <v>13187</v>
      </c>
      <c r="E14" s="17">
        <v>25</v>
      </c>
      <c r="F14" s="17">
        <v>0</v>
      </c>
      <c r="G14" s="19">
        <v>38937.120000000003</v>
      </c>
    </row>
    <row r="15" spans="1:9" s="17" customFormat="1">
      <c r="A15" s="18">
        <v>46024</v>
      </c>
      <c r="B15" s="18">
        <v>46024</v>
      </c>
      <c r="C15" s="17" t="s">
        <v>172</v>
      </c>
      <c r="D15" s="17">
        <v>9</v>
      </c>
      <c r="E15" s="17">
        <v>14.85</v>
      </c>
      <c r="F15" s="17">
        <v>0</v>
      </c>
      <c r="G15" s="19">
        <v>38922.269999999997</v>
      </c>
      <c r="H15" s="17" t="s">
        <v>173</v>
      </c>
    </row>
    <row r="16" spans="1:9" s="17" customFormat="1">
      <c r="A16" s="18">
        <v>46024</v>
      </c>
      <c r="B16" s="18">
        <v>46024</v>
      </c>
      <c r="C16" s="17" t="s">
        <v>179</v>
      </c>
      <c r="D16" s="17">
        <v>255512</v>
      </c>
      <c r="E16" s="19">
        <v>7000</v>
      </c>
      <c r="F16" s="17">
        <v>0</v>
      </c>
      <c r="G16" s="19">
        <v>31922.27</v>
      </c>
      <c r="H16" s="17" t="s">
        <v>252</v>
      </c>
    </row>
    <row r="17" spans="1:8" s="4" customFormat="1">
      <c r="A17" s="2">
        <v>46055</v>
      </c>
      <c r="B17" s="2">
        <v>46055</v>
      </c>
      <c r="C17" s="4" t="s">
        <v>164</v>
      </c>
      <c r="D17" s="4">
        <v>99012</v>
      </c>
      <c r="E17" s="4">
        <v>0</v>
      </c>
      <c r="F17" s="4">
        <v>350</v>
      </c>
      <c r="G17" s="3">
        <v>32272.27</v>
      </c>
      <c r="H17" s="4" t="s">
        <v>176</v>
      </c>
    </row>
    <row r="18" spans="1:8" s="4" customFormat="1">
      <c r="A18" s="2">
        <v>46055</v>
      </c>
      <c r="B18" s="2">
        <v>46055</v>
      </c>
      <c r="C18" s="4" t="s">
        <v>164</v>
      </c>
      <c r="D18" s="4">
        <v>99012</v>
      </c>
      <c r="E18" s="4">
        <v>0</v>
      </c>
      <c r="F18" s="4">
        <v>350</v>
      </c>
      <c r="G18" s="3">
        <v>32622.27</v>
      </c>
      <c r="H18" s="4" t="s">
        <v>177</v>
      </c>
    </row>
    <row r="19" spans="1:8" s="4" customFormat="1">
      <c r="A19" s="2">
        <v>46055</v>
      </c>
      <c r="B19" s="2">
        <v>46055</v>
      </c>
      <c r="C19" s="4" t="s">
        <v>164</v>
      </c>
      <c r="D19" s="4">
        <v>99012</v>
      </c>
      <c r="E19" s="4">
        <v>0</v>
      </c>
      <c r="F19" s="4">
        <v>867</v>
      </c>
      <c r="G19" s="3">
        <v>33489.269999999997</v>
      </c>
      <c r="H19" s="4" t="s">
        <v>253</v>
      </c>
    </row>
    <row r="20" spans="1:8" s="4" customFormat="1">
      <c r="A20" s="2">
        <v>46055</v>
      </c>
      <c r="B20" s="2">
        <v>46055</v>
      </c>
      <c r="C20" s="4" t="s">
        <v>169</v>
      </c>
      <c r="D20" s="4">
        <v>4668970</v>
      </c>
      <c r="E20" s="4">
        <v>0</v>
      </c>
      <c r="F20" s="4">
        <v>350</v>
      </c>
      <c r="G20" s="3">
        <v>33839.269999999997</v>
      </c>
      <c r="H20" s="4" t="s">
        <v>178</v>
      </c>
    </row>
    <row r="21" spans="1:8" s="4" customFormat="1">
      <c r="A21" s="2">
        <v>46055</v>
      </c>
      <c r="B21" s="2">
        <v>46055</v>
      </c>
      <c r="C21" s="4" t="s">
        <v>179</v>
      </c>
      <c r="D21" s="4">
        <v>120755</v>
      </c>
      <c r="E21" s="4">
        <v>0</v>
      </c>
      <c r="F21" s="4">
        <v>700</v>
      </c>
      <c r="G21" s="3">
        <v>34539.269999999997</v>
      </c>
      <c r="H21" s="4" t="s">
        <v>254</v>
      </c>
    </row>
    <row r="22" spans="1:8">
      <c r="A22" s="149">
        <v>46055</v>
      </c>
      <c r="B22" s="149">
        <v>46055</v>
      </c>
      <c r="C22" s="129" t="s">
        <v>179</v>
      </c>
      <c r="D22" s="129">
        <v>121079</v>
      </c>
      <c r="E22" s="129">
        <v>0</v>
      </c>
      <c r="F22" s="129">
        <v>60</v>
      </c>
      <c r="G22" s="147">
        <v>34599.269999999997</v>
      </c>
      <c r="H22" s="129" t="s">
        <v>242</v>
      </c>
    </row>
    <row r="23" spans="1:8" s="4" customFormat="1">
      <c r="A23" s="2">
        <v>46083</v>
      </c>
      <c r="B23" s="2">
        <v>46083</v>
      </c>
      <c r="C23" s="4" t="s">
        <v>169</v>
      </c>
      <c r="D23" s="4">
        <v>4878373</v>
      </c>
      <c r="E23" s="4">
        <v>0</v>
      </c>
      <c r="F23" s="4">
        <v>350</v>
      </c>
      <c r="G23" s="3">
        <v>34949.269999999997</v>
      </c>
      <c r="H23" s="4" t="s">
        <v>182</v>
      </c>
    </row>
    <row r="24" spans="1:8" s="17" customFormat="1">
      <c r="A24" s="18">
        <v>46083</v>
      </c>
      <c r="B24" s="18">
        <v>46083</v>
      </c>
      <c r="C24" s="17" t="s">
        <v>179</v>
      </c>
      <c r="D24" s="17">
        <v>68248</v>
      </c>
      <c r="E24" s="19">
        <v>7000</v>
      </c>
      <c r="F24" s="17">
        <v>0</v>
      </c>
      <c r="G24" s="19">
        <v>27949.27</v>
      </c>
      <c r="H24" s="17" t="s">
        <v>255</v>
      </c>
    </row>
    <row r="25" spans="1:8" s="4" customFormat="1">
      <c r="A25" s="2">
        <v>46144</v>
      </c>
      <c r="B25" s="2">
        <v>46144</v>
      </c>
      <c r="C25" s="4" t="s">
        <v>183</v>
      </c>
      <c r="D25" s="4">
        <v>99011</v>
      </c>
      <c r="E25" s="4">
        <v>0</v>
      </c>
      <c r="F25" s="4">
        <v>320</v>
      </c>
      <c r="G25" s="3">
        <v>28269.27</v>
      </c>
      <c r="H25" s="4" t="s">
        <v>184</v>
      </c>
    </row>
    <row r="26" spans="1:8" s="4" customFormat="1">
      <c r="A26" s="2">
        <v>46144</v>
      </c>
      <c r="B26" s="2">
        <v>46144</v>
      </c>
      <c r="C26" s="4" t="s">
        <v>185</v>
      </c>
      <c r="D26" s="4">
        <v>99014</v>
      </c>
      <c r="E26" s="4">
        <v>0</v>
      </c>
      <c r="F26" s="4">
        <v>350</v>
      </c>
      <c r="G26" s="3">
        <v>28619.27</v>
      </c>
      <c r="H26" s="4" t="s">
        <v>186</v>
      </c>
    </row>
    <row r="27" spans="1:8" s="4" customFormat="1">
      <c r="A27" s="2">
        <v>46144</v>
      </c>
      <c r="B27" s="2">
        <v>46144</v>
      </c>
      <c r="C27" s="4" t="s">
        <v>169</v>
      </c>
      <c r="D27" s="4">
        <v>4789577</v>
      </c>
      <c r="E27" s="4">
        <v>0</v>
      </c>
      <c r="F27" s="4">
        <v>350</v>
      </c>
      <c r="G27" s="3">
        <v>28969.27</v>
      </c>
      <c r="H27" s="4" t="s">
        <v>187</v>
      </c>
    </row>
    <row r="28" spans="1:8" s="17" customFormat="1">
      <c r="A28" s="18">
        <v>46144</v>
      </c>
      <c r="B28" s="18">
        <v>46144</v>
      </c>
      <c r="C28" s="17" t="s">
        <v>179</v>
      </c>
      <c r="D28" s="17">
        <v>8993</v>
      </c>
      <c r="E28" s="17">
        <v>900</v>
      </c>
      <c r="F28" s="17">
        <v>0</v>
      </c>
      <c r="G28" s="19">
        <v>28069.27</v>
      </c>
      <c r="H28" s="17" t="s">
        <v>256</v>
      </c>
    </row>
    <row r="29" spans="1:8" s="17" customFormat="1">
      <c r="A29" s="18">
        <v>46175</v>
      </c>
      <c r="B29" s="18">
        <v>46175</v>
      </c>
      <c r="C29" s="17" t="s">
        <v>257</v>
      </c>
      <c r="D29" s="17">
        <v>42663</v>
      </c>
      <c r="E29" s="17">
        <v>48.38</v>
      </c>
      <c r="F29" s="17">
        <v>0</v>
      </c>
      <c r="G29" s="19">
        <v>28020.89</v>
      </c>
    </row>
    <row r="30" spans="1:8" s="4" customFormat="1">
      <c r="A30" s="2">
        <v>46175</v>
      </c>
      <c r="B30" s="2">
        <v>46175</v>
      </c>
      <c r="C30" s="4" t="s">
        <v>169</v>
      </c>
      <c r="D30" s="4">
        <v>4870113</v>
      </c>
      <c r="E30" s="4">
        <v>0</v>
      </c>
      <c r="F30" s="4">
        <v>350</v>
      </c>
      <c r="G30" s="3">
        <v>28370.89</v>
      </c>
      <c r="H30" s="4" t="s">
        <v>189</v>
      </c>
    </row>
    <row r="31" spans="1:8" s="4" customFormat="1">
      <c r="A31" s="2">
        <v>46236</v>
      </c>
      <c r="B31" s="2">
        <v>46236</v>
      </c>
      <c r="C31" s="4" t="s">
        <v>164</v>
      </c>
      <c r="D31" s="4">
        <v>99012</v>
      </c>
      <c r="E31" s="4">
        <v>0</v>
      </c>
      <c r="F31" s="4">
        <v>350</v>
      </c>
      <c r="G31" s="3">
        <v>28720.89</v>
      </c>
      <c r="H31" s="4" t="s">
        <v>258</v>
      </c>
    </row>
    <row r="32" spans="1:8" s="4" customFormat="1">
      <c r="A32" s="2">
        <v>46236</v>
      </c>
      <c r="B32" s="2">
        <v>46236</v>
      </c>
      <c r="C32" s="4" t="s">
        <v>164</v>
      </c>
      <c r="D32" s="4">
        <v>99012</v>
      </c>
      <c r="E32" s="4">
        <v>0</v>
      </c>
      <c r="F32" s="4">
        <v>350</v>
      </c>
      <c r="G32" s="3">
        <v>29070.89</v>
      </c>
      <c r="H32" s="4" t="s">
        <v>259</v>
      </c>
    </row>
    <row r="33" spans="1:8" s="4" customFormat="1">
      <c r="A33" s="2">
        <v>46267</v>
      </c>
      <c r="B33" s="2">
        <v>46267</v>
      </c>
      <c r="C33" s="4" t="s">
        <v>169</v>
      </c>
      <c r="D33" s="4">
        <v>4763312</v>
      </c>
      <c r="E33" s="4">
        <v>0</v>
      </c>
      <c r="F33" s="4">
        <v>350</v>
      </c>
      <c r="G33" s="3">
        <v>29420.89</v>
      </c>
      <c r="H33" s="4" t="s">
        <v>200</v>
      </c>
    </row>
    <row r="34" spans="1:8" s="4" customFormat="1">
      <c r="A34" s="2">
        <v>46267</v>
      </c>
      <c r="B34" s="2">
        <v>46267</v>
      </c>
      <c r="C34" s="4" t="s">
        <v>169</v>
      </c>
      <c r="D34" s="4">
        <v>4899758</v>
      </c>
      <c r="E34" s="4">
        <v>0</v>
      </c>
      <c r="F34" s="4">
        <v>350</v>
      </c>
      <c r="G34" s="3">
        <v>29770.89</v>
      </c>
      <c r="H34" s="4" t="s">
        <v>201</v>
      </c>
    </row>
    <row r="35" spans="1:8" s="17" customFormat="1">
      <c r="A35" s="18">
        <v>46267</v>
      </c>
      <c r="B35" s="18">
        <v>46267</v>
      </c>
      <c r="C35" s="17" t="s">
        <v>169</v>
      </c>
      <c r="D35" s="17">
        <v>4932477</v>
      </c>
      <c r="E35" s="19">
        <v>7500</v>
      </c>
      <c r="F35" s="17">
        <v>0</v>
      </c>
      <c r="G35" s="19">
        <v>22270.89</v>
      </c>
      <c r="H35" s="17" t="s">
        <v>260</v>
      </c>
    </row>
    <row r="36" spans="1:8" s="17" customFormat="1">
      <c r="A36" s="18">
        <v>46297</v>
      </c>
      <c r="B36" s="18">
        <v>46297</v>
      </c>
      <c r="C36" s="17" t="s">
        <v>202</v>
      </c>
      <c r="D36" s="17">
        <v>44855</v>
      </c>
      <c r="E36" s="17">
        <v>982</v>
      </c>
      <c r="F36" s="17">
        <v>0</v>
      </c>
      <c r="G36" s="19">
        <v>21288.89</v>
      </c>
    </row>
    <row r="37" spans="1:8" s="4" customFormat="1">
      <c r="A37" s="2">
        <v>46297</v>
      </c>
      <c r="B37" s="2">
        <v>46297</v>
      </c>
      <c r="C37" s="4" t="s">
        <v>183</v>
      </c>
      <c r="D37" s="4">
        <v>99011</v>
      </c>
      <c r="E37" s="4">
        <v>0</v>
      </c>
      <c r="F37" s="4">
        <v>350</v>
      </c>
      <c r="G37" s="3">
        <v>21638.89</v>
      </c>
      <c r="H37" s="4" t="s">
        <v>205</v>
      </c>
    </row>
    <row r="38" spans="1:8" s="4" customFormat="1">
      <c r="A38" s="2">
        <v>46297</v>
      </c>
      <c r="B38" s="2">
        <v>46297</v>
      </c>
      <c r="C38" s="4" t="s">
        <v>183</v>
      </c>
      <c r="D38" s="4">
        <v>99011</v>
      </c>
      <c r="E38" s="4">
        <v>0</v>
      </c>
      <c r="F38" s="4">
        <v>350</v>
      </c>
      <c r="G38" s="3">
        <v>21988.89</v>
      </c>
      <c r="H38" s="4" t="s">
        <v>203</v>
      </c>
    </row>
    <row r="39" spans="1:8" s="4" customFormat="1">
      <c r="A39" s="2">
        <v>46297</v>
      </c>
      <c r="B39" s="2">
        <v>46297</v>
      </c>
      <c r="C39" s="4" t="s">
        <v>183</v>
      </c>
      <c r="D39" s="4">
        <v>99011</v>
      </c>
      <c r="E39" s="4">
        <v>0</v>
      </c>
      <c r="F39" s="4">
        <v>350</v>
      </c>
      <c r="G39" s="3">
        <v>22338.89</v>
      </c>
      <c r="H39" s="4" t="s">
        <v>204</v>
      </c>
    </row>
    <row r="40" spans="1:8" s="4" customFormat="1">
      <c r="A40" s="2">
        <v>46297</v>
      </c>
      <c r="B40" s="2">
        <v>46297</v>
      </c>
      <c r="C40" s="4" t="s">
        <v>183</v>
      </c>
      <c r="D40" s="4">
        <v>99011</v>
      </c>
      <c r="E40" s="4">
        <v>0</v>
      </c>
      <c r="F40" s="3">
        <v>2160</v>
      </c>
      <c r="G40" s="3">
        <v>24498.89</v>
      </c>
      <c r="H40" s="4" t="s">
        <v>261</v>
      </c>
    </row>
    <row r="41" spans="1:8" s="4" customFormat="1">
      <c r="A41" s="2">
        <v>46297</v>
      </c>
      <c r="B41" s="2">
        <v>46297</v>
      </c>
      <c r="C41" s="4" t="s">
        <v>164</v>
      </c>
      <c r="D41" s="4">
        <v>99012</v>
      </c>
      <c r="E41" s="4">
        <v>0</v>
      </c>
      <c r="F41" s="4">
        <v>320</v>
      </c>
      <c r="G41" s="3">
        <v>24818.89</v>
      </c>
      <c r="H41" s="4" t="s">
        <v>195</v>
      </c>
    </row>
    <row r="42" spans="1:8" s="4" customFormat="1">
      <c r="A42" s="2">
        <v>46297</v>
      </c>
      <c r="B42" s="2">
        <v>46297</v>
      </c>
      <c r="C42" s="4" t="s">
        <v>164</v>
      </c>
      <c r="D42" s="4">
        <v>99012</v>
      </c>
      <c r="E42" s="4">
        <v>0</v>
      </c>
      <c r="F42" s="4">
        <v>350</v>
      </c>
      <c r="G42" s="3">
        <v>25168.89</v>
      </c>
      <c r="H42" s="4" t="s">
        <v>196</v>
      </c>
    </row>
    <row r="43" spans="1:8" s="4" customFormat="1">
      <c r="A43" s="2">
        <v>46297</v>
      </c>
      <c r="B43" s="2">
        <v>46297</v>
      </c>
      <c r="C43" s="4" t="s">
        <v>164</v>
      </c>
      <c r="D43" s="4">
        <v>99012</v>
      </c>
      <c r="E43" s="4">
        <v>0</v>
      </c>
      <c r="F43" s="4">
        <v>350</v>
      </c>
      <c r="G43" s="3">
        <v>25518.89</v>
      </c>
      <c r="H43" s="4" t="s">
        <v>262</v>
      </c>
    </row>
    <row r="44" spans="1:8" s="4" customFormat="1">
      <c r="A44" s="2">
        <v>46297</v>
      </c>
      <c r="B44" s="2">
        <v>46297</v>
      </c>
      <c r="C44" s="4" t="s">
        <v>164</v>
      </c>
      <c r="D44" s="4">
        <v>99012</v>
      </c>
      <c r="E44" s="4">
        <v>0</v>
      </c>
      <c r="F44" s="4">
        <v>350</v>
      </c>
      <c r="G44" s="3">
        <v>25868.89</v>
      </c>
      <c r="H44" s="4" t="s">
        <v>197</v>
      </c>
    </row>
    <row r="45" spans="1:8" s="4" customFormat="1">
      <c r="A45" s="2">
        <v>46297</v>
      </c>
      <c r="B45" s="2">
        <v>46297</v>
      </c>
      <c r="C45" s="4" t="s">
        <v>164</v>
      </c>
      <c r="D45" s="4">
        <v>99012</v>
      </c>
      <c r="E45" s="4">
        <v>0</v>
      </c>
      <c r="F45" s="4">
        <v>350</v>
      </c>
      <c r="G45" s="3">
        <v>26218.89</v>
      </c>
      <c r="H45" s="4" t="s">
        <v>198</v>
      </c>
    </row>
    <row r="46" spans="1:8" s="4" customFormat="1">
      <c r="A46" s="2">
        <v>46297</v>
      </c>
      <c r="B46" s="2">
        <v>46297</v>
      </c>
      <c r="C46" s="4" t="s">
        <v>164</v>
      </c>
      <c r="D46" s="4">
        <v>99012</v>
      </c>
      <c r="E46" s="4">
        <v>0</v>
      </c>
      <c r="F46" s="4">
        <v>350</v>
      </c>
      <c r="G46" s="3">
        <v>26568.89</v>
      </c>
      <c r="H46" s="4" t="s">
        <v>199</v>
      </c>
    </row>
    <row r="47" spans="1:8" s="4" customFormat="1">
      <c r="A47" s="2">
        <v>46297</v>
      </c>
      <c r="B47" s="2">
        <v>46297</v>
      </c>
      <c r="C47" s="4" t="s">
        <v>185</v>
      </c>
      <c r="D47" s="4">
        <v>99014</v>
      </c>
      <c r="E47" s="4">
        <v>0</v>
      </c>
      <c r="F47" s="4">
        <v>350</v>
      </c>
      <c r="G47" s="3">
        <v>26918.89</v>
      </c>
      <c r="H47" s="4" t="s">
        <v>206</v>
      </c>
    </row>
    <row r="48" spans="1:8" s="4" customFormat="1">
      <c r="A48" s="2">
        <v>46297</v>
      </c>
      <c r="B48" s="2">
        <v>46297</v>
      </c>
      <c r="C48" s="4" t="s">
        <v>185</v>
      </c>
      <c r="D48" s="4">
        <v>99014</v>
      </c>
      <c r="E48" s="4">
        <v>0</v>
      </c>
      <c r="F48" s="4">
        <v>350</v>
      </c>
      <c r="G48" s="3">
        <v>27268.89</v>
      </c>
      <c r="H48" s="4" t="s">
        <v>207</v>
      </c>
    </row>
    <row r="49" spans="1:8" s="4" customFormat="1">
      <c r="A49" s="2">
        <v>46297</v>
      </c>
      <c r="B49" s="2">
        <v>46297</v>
      </c>
      <c r="C49" s="4" t="s">
        <v>185</v>
      </c>
      <c r="D49" s="4">
        <v>99014</v>
      </c>
      <c r="E49" s="4">
        <v>0</v>
      </c>
      <c r="F49" s="4">
        <v>350</v>
      </c>
      <c r="G49" s="3">
        <v>27618.89</v>
      </c>
      <c r="H49" s="4" t="s">
        <v>208</v>
      </c>
    </row>
    <row r="50" spans="1:8" s="4" customFormat="1">
      <c r="A50" s="2">
        <v>46297</v>
      </c>
      <c r="B50" s="2">
        <v>46297</v>
      </c>
      <c r="C50" s="4" t="s">
        <v>209</v>
      </c>
      <c r="D50" s="4">
        <v>99020</v>
      </c>
      <c r="E50" s="4">
        <v>0</v>
      </c>
      <c r="F50" s="4">
        <v>350</v>
      </c>
      <c r="G50" s="3">
        <v>27968.89</v>
      </c>
      <c r="H50" s="4" t="s">
        <v>210</v>
      </c>
    </row>
    <row r="51" spans="1:8" s="4" customFormat="1">
      <c r="A51" s="2">
        <v>46297</v>
      </c>
      <c r="B51" s="2">
        <v>46297</v>
      </c>
      <c r="C51" s="4" t="s">
        <v>169</v>
      </c>
      <c r="D51" s="4">
        <v>4512636</v>
      </c>
      <c r="E51" s="4">
        <v>0</v>
      </c>
      <c r="F51" s="4">
        <v>350</v>
      </c>
      <c r="G51" s="3">
        <v>28318.89</v>
      </c>
      <c r="H51" s="4" t="s">
        <v>212</v>
      </c>
    </row>
    <row r="52" spans="1:8" s="17" customFormat="1">
      <c r="A52" s="18">
        <v>46297</v>
      </c>
      <c r="B52" s="18">
        <v>46297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27538.78</v>
      </c>
      <c r="H52" s="17" t="s">
        <v>213</v>
      </c>
    </row>
    <row r="53" spans="1:8" s="4" customFormat="1">
      <c r="A53" s="2">
        <v>46297</v>
      </c>
      <c r="B53" s="2">
        <v>46297</v>
      </c>
      <c r="C53" s="4" t="s">
        <v>169</v>
      </c>
      <c r="D53" s="4">
        <v>4875354</v>
      </c>
      <c r="E53" s="4">
        <v>0</v>
      </c>
      <c r="F53" s="4">
        <v>350</v>
      </c>
      <c r="G53" s="3">
        <v>27888.78</v>
      </c>
      <c r="H53" s="4" t="s">
        <v>214</v>
      </c>
    </row>
    <row r="54" spans="1:8" s="4" customFormat="1">
      <c r="A54" s="2">
        <v>46297</v>
      </c>
      <c r="B54" s="2">
        <v>46297</v>
      </c>
      <c r="C54" s="4" t="s">
        <v>169</v>
      </c>
      <c r="D54" s="4">
        <v>4883868</v>
      </c>
      <c r="E54" s="4">
        <v>0</v>
      </c>
      <c r="F54" s="4">
        <v>350</v>
      </c>
      <c r="G54" s="3">
        <v>28238.78</v>
      </c>
      <c r="H54" s="4" t="s">
        <v>215</v>
      </c>
    </row>
    <row r="55" spans="1:8" s="4" customFormat="1">
      <c r="A55" s="2">
        <v>46297</v>
      </c>
      <c r="B55" s="2">
        <v>46297</v>
      </c>
      <c r="C55" s="4" t="s">
        <v>179</v>
      </c>
      <c r="D55" s="4">
        <v>289137</v>
      </c>
      <c r="E55" s="4">
        <v>0</v>
      </c>
      <c r="F55" s="4">
        <v>350</v>
      </c>
      <c r="G55" s="3">
        <v>28588.78</v>
      </c>
      <c r="H55" s="4" t="s">
        <v>263</v>
      </c>
    </row>
    <row r="56" spans="1:8" s="4" customFormat="1">
      <c r="A56" s="2">
        <v>46328</v>
      </c>
      <c r="B56" s="2">
        <v>46328</v>
      </c>
      <c r="C56" s="4" t="s">
        <v>164</v>
      </c>
      <c r="D56" s="4">
        <v>99012</v>
      </c>
      <c r="E56" s="4">
        <v>0</v>
      </c>
      <c r="F56" s="4">
        <v>350</v>
      </c>
      <c r="G56" s="3">
        <v>28938.78</v>
      </c>
      <c r="H56" s="4" t="s">
        <v>264</v>
      </c>
    </row>
    <row r="57" spans="1:8" s="154" customFormat="1">
      <c r="A57" s="152">
        <v>46328</v>
      </c>
      <c r="B57" s="152">
        <v>46328</v>
      </c>
      <c r="C57" s="154" t="s">
        <v>179</v>
      </c>
      <c r="D57" s="154">
        <v>33582</v>
      </c>
      <c r="E57" s="154">
        <v>0</v>
      </c>
      <c r="F57" s="154">
        <v>500</v>
      </c>
      <c r="G57" s="153">
        <v>29438.78</v>
      </c>
      <c r="H57" s="154" t="s">
        <v>265</v>
      </c>
    </row>
    <row r="58" spans="1:8" s="4" customFormat="1">
      <c r="A58" s="2">
        <v>46358</v>
      </c>
      <c r="B58" s="2">
        <v>46358</v>
      </c>
      <c r="C58" s="4" t="s">
        <v>183</v>
      </c>
      <c r="D58" s="4">
        <v>99011</v>
      </c>
      <c r="E58" s="4">
        <v>0</v>
      </c>
      <c r="F58" s="4">
        <v>350</v>
      </c>
      <c r="G58" s="3">
        <v>29788.78</v>
      </c>
      <c r="H58" s="4" t="s">
        <v>218</v>
      </c>
    </row>
    <row r="59" spans="1:8" s="4" customFormat="1">
      <c r="A59" s="4" t="s">
        <v>266</v>
      </c>
      <c r="B59" s="4" t="s">
        <v>266</v>
      </c>
      <c r="C59" s="4" t="s">
        <v>190</v>
      </c>
      <c r="D59" s="4">
        <v>99004</v>
      </c>
      <c r="E59" s="4">
        <v>0</v>
      </c>
      <c r="F59" s="4">
        <v>350</v>
      </c>
      <c r="G59" s="3">
        <v>30138.78</v>
      </c>
      <c r="H59" s="4" t="s">
        <v>224</v>
      </c>
    </row>
    <row r="60" spans="1:8" s="4" customFormat="1">
      <c r="A60" s="4" t="s">
        <v>266</v>
      </c>
      <c r="B60" s="4" t="s">
        <v>266</v>
      </c>
      <c r="C60" s="4" t="s">
        <v>164</v>
      </c>
      <c r="D60" s="4">
        <v>99012</v>
      </c>
      <c r="E60" s="4">
        <v>0</v>
      </c>
      <c r="F60" s="4">
        <v>120</v>
      </c>
      <c r="G60" s="3">
        <v>30258.78</v>
      </c>
      <c r="H60" s="4" t="s">
        <v>267</v>
      </c>
    </row>
    <row r="61" spans="1:8" s="4" customFormat="1">
      <c r="A61" s="4" t="s">
        <v>266</v>
      </c>
      <c r="B61" s="4" t="s">
        <v>266</v>
      </c>
      <c r="C61" s="4" t="s">
        <v>164</v>
      </c>
      <c r="D61" s="4">
        <v>99012</v>
      </c>
      <c r="E61" s="4">
        <v>0</v>
      </c>
      <c r="F61" s="4">
        <v>350</v>
      </c>
      <c r="G61" s="3">
        <v>30608.78</v>
      </c>
      <c r="H61" s="4" t="s">
        <v>225</v>
      </c>
    </row>
    <row r="62" spans="1:8" s="4" customFormat="1">
      <c r="A62" s="4" t="s">
        <v>266</v>
      </c>
      <c r="B62" s="4" t="s">
        <v>266</v>
      </c>
      <c r="C62" s="4" t="s">
        <v>164</v>
      </c>
      <c r="D62" s="4">
        <v>99012</v>
      </c>
      <c r="E62" s="4">
        <v>0</v>
      </c>
      <c r="F62" s="4">
        <v>350</v>
      </c>
      <c r="G62" s="3">
        <v>30958.78</v>
      </c>
      <c r="H62" s="4" t="s">
        <v>268</v>
      </c>
    </row>
    <row r="63" spans="1:8" s="4" customFormat="1">
      <c r="A63" s="4" t="s">
        <v>266</v>
      </c>
      <c r="B63" s="4" t="s">
        <v>266</v>
      </c>
      <c r="C63" s="4" t="s">
        <v>185</v>
      </c>
      <c r="D63" s="4">
        <v>99014</v>
      </c>
      <c r="E63" s="4">
        <v>0</v>
      </c>
      <c r="F63" s="4">
        <v>350</v>
      </c>
      <c r="G63" s="3">
        <v>31308.78</v>
      </c>
      <c r="H63" s="4" t="s">
        <v>221</v>
      </c>
    </row>
    <row r="64" spans="1:8" s="4" customFormat="1">
      <c r="A64" s="4" t="s">
        <v>266</v>
      </c>
      <c r="B64" s="4" t="s">
        <v>266</v>
      </c>
      <c r="C64" s="4" t="s">
        <v>209</v>
      </c>
      <c r="D64" s="4">
        <v>99020</v>
      </c>
      <c r="E64" s="4">
        <v>0</v>
      </c>
      <c r="F64" s="4">
        <v>350</v>
      </c>
      <c r="G64" s="3">
        <v>31658.78</v>
      </c>
      <c r="H64" s="4" t="s">
        <v>269</v>
      </c>
    </row>
    <row r="65" spans="1:8" s="4" customFormat="1">
      <c r="A65" s="4" t="s">
        <v>266</v>
      </c>
      <c r="B65" s="4" t="s">
        <v>266</v>
      </c>
      <c r="C65" s="4" t="s">
        <v>209</v>
      </c>
      <c r="D65" s="4">
        <v>99020</v>
      </c>
      <c r="E65" s="4">
        <v>0</v>
      </c>
      <c r="F65" s="4">
        <v>350</v>
      </c>
      <c r="G65" s="3">
        <v>32008.78</v>
      </c>
      <c r="H65" s="4" t="s">
        <v>226</v>
      </c>
    </row>
    <row r="66" spans="1:8" s="4" customFormat="1">
      <c r="A66" s="4" t="s">
        <v>266</v>
      </c>
      <c r="B66" s="4" t="s">
        <v>266</v>
      </c>
      <c r="C66" s="4" t="s">
        <v>167</v>
      </c>
      <c r="D66" s="4">
        <v>99031</v>
      </c>
      <c r="E66" s="4">
        <v>0</v>
      </c>
      <c r="F66" s="4">
        <v>350</v>
      </c>
      <c r="G66" s="3">
        <v>32358.78</v>
      </c>
      <c r="H66" s="4" t="s">
        <v>222</v>
      </c>
    </row>
    <row r="67" spans="1:8" s="4" customFormat="1">
      <c r="A67" s="4" t="s">
        <v>266</v>
      </c>
      <c r="B67" s="4" t="s">
        <v>266</v>
      </c>
      <c r="C67" s="4" t="s">
        <v>169</v>
      </c>
      <c r="D67" s="4">
        <v>4795693</v>
      </c>
      <c r="E67" s="4">
        <v>0</v>
      </c>
      <c r="F67" s="4">
        <v>350</v>
      </c>
      <c r="G67" s="3">
        <v>32708.78</v>
      </c>
      <c r="H67" s="4" t="s">
        <v>227</v>
      </c>
    </row>
    <row r="68" spans="1:8" s="4" customFormat="1">
      <c r="A68" s="4" t="s">
        <v>266</v>
      </c>
      <c r="B68" s="4" t="s">
        <v>266</v>
      </c>
      <c r="C68" s="4" t="s">
        <v>169</v>
      </c>
      <c r="D68" s="4">
        <v>4865441</v>
      </c>
      <c r="E68" s="4">
        <v>0</v>
      </c>
      <c r="F68" s="4">
        <v>350</v>
      </c>
      <c r="G68" s="3">
        <v>33058.78</v>
      </c>
      <c r="H68" s="4" t="s">
        <v>228</v>
      </c>
    </row>
    <row r="69" spans="1:8" s="4" customFormat="1">
      <c r="A69" s="4" t="s">
        <v>266</v>
      </c>
      <c r="B69" s="4" t="s">
        <v>266</v>
      </c>
      <c r="C69" s="4" t="s">
        <v>169</v>
      </c>
      <c r="D69" s="4">
        <v>4865951</v>
      </c>
      <c r="E69" s="4">
        <v>0</v>
      </c>
      <c r="F69" s="4">
        <v>350</v>
      </c>
      <c r="G69" s="3">
        <v>33408.78</v>
      </c>
      <c r="H69" s="4" t="s">
        <v>229</v>
      </c>
    </row>
    <row r="70" spans="1:8" s="4" customFormat="1">
      <c r="A70" s="4" t="s">
        <v>266</v>
      </c>
      <c r="B70" s="4" t="s">
        <v>266</v>
      </c>
      <c r="C70" s="4" t="s">
        <v>169</v>
      </c>
      <c r="D70" s="4">
        <v>4870920</v>
      </c>
      <c r="E70" s="4">
        <v>0</v>
      </c>
      <c r="F70" s="4">
        <v>350</v>
      </c>
      <c r="G70" s="3">
        <v>33758.78</v>
      </c>
      <c r="H70" s="4" t="s">
        <v>230</v>
      </c>
    </row>
    <row r="71" spans="1:8" s="4" customFormat="1">
      <c r="A71" s="4" t="s">
        <v>266</v>
      </c>
      <c r="B71" s="4" t="s">
        <v>266</v>
      </c>
      <c r="C71" s="4" t="s">
        <v>169</v>
      </c>
      <c r="D71" s="4">
        <v>4882283</v>
      </c>
      <c r="E71" s="4">
        <v>0</v>
      </c>
      <c r="F71" s="4">
        <v>350</v>
      </c>
      <c r="G71" s="3">
        <v>34108.78</v>
      </c>
      <c r="H71" s="4" t="s">
        <v>231</v>
      </c>
    </row>
    <row r="72" spans="1:8" s="4" customFormat="1">
      <c r="A72" s="4" t="s">
        <v>266</v>
      </c>
      <c r="B72" s="4" t="s">
        <v>266</v>
      </c>
      <c r="C72" s="4" t="s">
        <v>179</v>
      </c>
      <c r="D72" s="4">
        <v>208736</v>
      </c>
      <c r="E72" s="4">
        <v>0</v>
      </c>
      <c r="F72" s="4">
        <v>350</v>
      </c>
      <c r="G72" s="3">
        <v>34458.78</v>
      </c>
      <c r="H72" s="4" t="s">
        <v>270</v>
      </c>
    </row>
    <row r="73" spans="1:8" s="4" customFormat="1">
      <c r="A73" s="4" t="s">
        <v>271</v>
      </c>
      <c r="B73" s="4" t="s">
        <v>271</v>
      </c>
      <c r="C73" s="4" t="s">
        <v>164</v>
      </c>
      <c r="D73" s="4">
        <v>99012</v>
      </c>
      <c r="E73" s="4">
        <v>0</v>
      </c>
      <c r="F73" s="4">
        <v>350</v>
      </c>
      <c r="G73" s="3">
        <v>34808.78</v>
      </c>
      <c r="H73" s="4" t="s">
        <v>194</v>
      </c>
    </row>
    <row r="74" spans="1:8" s="17" customFormat="1">
      <c r="A74" s="17" t="s">
        <v>271</v>
      </c>
      <c r="B74" s="17" t="s">
        <v>271</v>
      </c>
      <c r="C74" s="17" t="s">
        <v>174</v>
      </c>
      <c r="D74" s="17">
        <v>124543</v>
      </c>
      <c r="E74" s="17">
        <v>177</v>
      </c>
      <c r="F74" s="17">
        <v>0</v>
      </c>
      <c r="G74" s="19">
        <v>34631.78</v>
      </c>
      <c r="H74" s="17" t="s">
        <v>272</v>
      </c>
    </row>
    <row r="75" spans="1:8" s="17" customFormat="1">
      <c r="A75" s="17" t="s">
        <v>273</v>
      </c>
      <c r="B75" s="17" t="s">
        <v>273</v>
      </c>
      <c r="C75" s="17" t="s">
        <v>174</v>
      </c>
      <c r="D75" s="17">
        <v>116126</v>
      </c>
      <c r="E75" s="17">
        <v>665</v>
      </c>
      <c r="F75" s="17">
        <v>0</v>
      </c>
      <c r="G75" s="19">
        <v>33966.78</v>
      </c>
      <c r="H75" s="17" t="s">
        <v>274</v>
      </c>
    </row>
    <row r="76" spans="1:8" s="4" customFormat="1">
      <c r="A76" s="4" t="s">
        <v>275</v>
      </c>
      <c r="B76" s="4" t="s">
        <v>275</v>
      </c>
      <c r="C76" s="4" t="s">
        <v>179</v>
      </c>
      <c r="D76" s="4">
        <v>63305</v>
      </c>
      <c r="E76" s="4">
        <v>0</v>
      </c>
      <c r="F76" s="4">
        <v>30</v>
      </c>
      <c r="G76" s="3">
        <v>33996.78</v>
      </c>
      <c r="H76" s="4" t="s">
        <v>237</v>
      </c>
    </row>
    <row r="77" spans="1:8" s="4" customFormat="1">
      <c r="A77" s="4" t="s">
        <v>276</v>
      </c>
      <c r="B77" s="4" t="s">
        <v>276</v>
      </c>
      <c r="C77" s="4" t="s">
        <v>181</v>
      </c>
      <c r="D77" s="4">
        <v>14413</v>
      </c>
      <c r="E77" s="4">
        <v>0</v>
      </c>
      <c r="F77" s="4">
        <v>350</v>
      </c>
      <c r="G77" s="3">
        <v>34346.78</v>
      </c>
    </row>
    <row r="78" spans="1:8" s="4" customFormat="1">
      <c r="A78" s="4" t="s">
        <v>276</v>
      </c>
      <c r="B78" s="4" t="s">
        <v>276</v>
      </c>
      <c r="C78" s="4" t="s">
        <v>181</v>
      </c>
      <c r="D78" s="4">
        <v>70824</v>
      </c>
      <c r="E78" s="4">
        <v>0</v>
      </c>
      <c r="F78" s="4">
        <v>350</v>
      </c>
      <c r="G78" s="3">
        <v>34696.78</v>
      </c>
    </row>
    <row r="79" spans="1:8" s="17" customFormat="1">
      <c r="A79" s="17" t="s">
        <v>277</v>
      </c>
      <c r="B79" s="17" t="s">
        <v>277</v>
      </c>
      <c r="C79" s="17" t="s">
        <v>235</v>
      </c>
      <c r="D79" s="17">
        <v>706</v>
      </c>
      <c r="E79" s="19">
        <v>3595.06</v>
      </c>
      <c r="F79" s="17">
        <v>0</v>
      </c>
      <c r="G79" s="19">
        <v>31101.72</v>
      </c>
    </row>
    <row r="80" spans="1:8" s="17" customFormat="1">
      <c r="A80" s="17" t="s">
        <v>277</v>
      </c>
      <c r="B80" s="17" t="s">
        <v>277</v>
      </c>
      <c r="C80" s="17" t="s">
        <v>174</v>
      </c>
      <c r="D80" s="17">
        <v>167433</v>
      </c>
      <c r="E80" s="17">
        <v>650</v>
      </c>
      <c r="F80" s="17">
        <v>0</v>
      </c>
      <c r="G80" s="19">
        <v>30451.72</v>
      </c>
      <c r="H80" s="17" t="s">
        <v>278</v>
      </c>
    </row>
    <row r="81" spans="1:8" s="17" customFormat="1">
      <c r="A81" s="17" t="s">
        <v>279</v>
      </c>
      <c r="B81" s="17" t="s">
        <v>279</v>
      </c>
      <c r="C81" s="17" t="s">
        <v>236</v>
      </c>
      <c r="D81" s="17">
        <v>31274</v>
      </c>
      <c r="E81" s="17">
        <v>90.77</v>
      </c>
      <c r="F81" s="17">
        <v>0</v>
      </c>
      <c r="G81" s="19">
        <v>30360.95</v>
      </c>
    </row>
    <row r="82" spans="1:8" s="4" customFormat="1">
      <c r="A82" s="4" t="s">
        <v>279</v>
      </c>
      <c r="B82" s="4" t="s">
        <v>279</v>
      </c>
      <c r="C82" s="4" t="s">
        <v>179</v>
      </c>
      <c r="D82" s="4">
        <v>61144</v>
      </c>
      <c r="E82" s="4">
        <v>0</v>
      </c>
      <c r="F82" s="4">
        <v>700</v>
      </c>
      <c r="G82" s="3">
        <v>31060.95</v>
      </c>
      <c r="H82" s="4" t="s">
        <v>280</v>
      </c>
    </row>
    <row r="83" spans="1:8" s="154" customFormat="1">
      <c r="A83" s="154" t="s">
        <v>279</v>
      </c>
      <c r="B83" s="154" t="s">
        <v>279</v>
      </c>
      <c r="C83" s="154" t="s">
        <v>179</v>
      </c>
      <c r="D83" s="154">
        <v>74494</v>
      </c>
      <c r="E83" s="154">
        <v>0</v>
      </c>
      <c r="F83" s="154">
        <v>500</v>
      </c>
      <c r="G83" s="153">
        <v>31560.95</v>
      </c>
      <c r="H83" s="154" t="s">
        <v>281</v>
      </c>
    </row>
    <row r="84" spans="1:8" s="154" customFormat="1">
      <c r="A84" s="154" t="s">
        <v>282</v>
      </c>
      <c r="B84" s="154" t="s">
        <v>282</v>
      </c>
      <c r="C84" s="154" t="s">
        <v>164</v>
      </c>
      <c r="D84" s="154">
        <v>99012</v>
      </c>
      <c r="E84" s="154">
        <v>0</v>
      </c>
      <c r="F84" s="154">
        <v>500</v>
      </c>
      <c r="G84" s="153">
        <v>32060.95</v>
      </c>
      <c r="H84" s="154" t="s">
        <v>283</v>
      </c>
    </row>
    <row r="85" spans="1:8" s="4" customFormat="1">
      <c r="A85" s="4" t="s">
        <v>284</v>
      </c>
      <c r="B85" s="4" t="s">
        <v>284</v>
      </c>
      <c r="C85" s="4" t="s">
        <v>181</v>
      </c>
      <c r="D85" s="4">
        <v>51617</v>
      </c>
      <c r="E85" s="4">
        <v>0</v>
      </c>
      <c r="F85" s="4">
        <v>350</v>
      </c>
      <c r="G85" s="3">
        <v>32410.95</v>
      </c>
    </row>
    <row r="86" spans="1:8" s="4" customFormat="1">
      <c r="A86" s="4" t="s">
        <v>285</v>
      </c>
      <c r="B86" s="4" t="s">
        <v>285</v>
      </c>
      <c r="C86" s="4" t="s">
        <v>181</v>
      </c>
      <c r="D86" s="4">
        <v>61982</v>
      </c>
      <c r="E86" s="4">
        <v>0</v>
      </c>
      <c r="F86" s="4">
        <v>410</v>
      </c>
      <c r="G86" s="3">
        <v>32820.949999999997</v>
      </c>
    </row>
    <row r="87" spans="1:8" s="17" customFormat="1">
      <c r="A87" s="17" t="s">
        <v>285</v>
      </c>
      <c r="B87" s="17" t="s">
        <v>285</v>
      </c>
      <c r="C87" s="17" t="s">
        <v>246</v>
      </c>
      <c r="D87" s="17">
        <v>1086</v>
      </c>
      <c r="E87" s="19">
        <v>4361.79</v>
      </c>
      <c r="F87" s="17">
        <v>0</v>
      </c>
      <c r="G87" s="19">
        <v>28459.16</v>
      </c>
    </row>
    <row r="88" spans="1:8" s="4" customFormat="1">
      <c r="A88" s="4" t="s">
        <v>285</v>
      </c>
      <c r="B88" s="4" t="s">
        <v>285</v>
      </c>
      <c r="C88" s="4" t="s">
        <v>169</v>
      </c>
      <c r="D88" s="4">
        <v>4837872</v>
      </c>
      <c r="E88" s="4">
        <v>0</v>
      </c>
      <c r="F88" s="4">
        <v>350</v>
      </c>
      <c r="G88" s="3">
        <v>28809.16</v>
      </c>
      <c r="H88" s="4" t="s">
        <v>244</v>
      </c>
    </row>
  </sheetData>
  <mergeCells count="18">
    <mergeCell ref="A1:I1"/>
    <mergeCell ref="E5:F5"/>
    <mergeCell ref="A9:I9"/>
    <mergeCell ref="A3:I3"/>
    <mergeCell ref="A8:B8"/>
    <mergeCell ref="A4:I4"/>
    <mergeCell ref="A6:B6"/>
    <mergeCell ref="C8:D8"/>
    <mergeCell ref="A2:I2"/>
    <mergeCell ref="A10:I10"/>
    <mergeCell ref="E7:F7"/>
    <mergeCell ref="E8:F8"/>
    <mergeCell ref="C5:D5"/>
    <mergeCell ref="A5:B5"/>
    <mergeCell ref="E6:F6"/>
    <mergeCell ref="C6:D6"/>
    <mergeCell ref="C7:D7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style="169" bestFit="1" customWidth="1"/>
    <col min="2" max="2" width="9.7109375" style="169" customWidth="1"/>
    <col min="7" max="7" width="9.5703125" style="169" bestFit="1" customWidth="1"/>
  </cols>
  <sheetData>
    <row r="1" spans="1:9">
      <c r="A1" s="209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9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9" t="s">
        <v>286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10"/>
      <c r="B4" s="197"/>
      <c r="C4" s="197"/>
      <c r="D4" s="197"/>
      <c r="E4" s="197"/>
      <c r="F4" s="197"/>
      <c r="G4" s="197"/>
      <c r="H4" s="197"/>
      <c r="I4" s="197"/>
    </row>
    <row r="5" spans="1:9">
      <c r="A5" s="209" t="s">
        <v>149</v>
      </c>
      <c r="B5" s="197"/>
      <c r="C5" s="209" t="s">
        <v>150</v>
      </c>
      <c r="D5" s="197"/>
      <c r="E5" s="209" t="s">
        <v>151</v>
      </c>
      <c r="F5" s="197"/>
      <c r="G5" s="191"/>
      <c r="H5" s="191"/>
      <c r="I5" s="191"/>
    </row>
    <row r="6" spans="1:9">
      <c r="A6" s="210"/>
      <c r="B6" s="197"/>
      <c r="C6" s="210"/>
      <c r="D6" s="197"/>
      <c r="E6" s="210"/>
      <c r="F6" s="197"/>
      <c r="G6" s="191"/>
      <c r="H6" s="191"/>
      <c r="I6" s="191"/>
    </row>
    <row r="7" spans="1:9">
      <c r="A7" s="210" t="s">
        <v>287</v>
      </c>
      <c r="B7" s="197"/>
      <c r="C7" s="210" t="s">
        <v>153</v>
      </c>
      <c r="D7" s="197"/>
      <c r="E7" s="210" t="s">
        <v>288</v>
      </c>
      <c r="F7" s="197"/>
      <c r="G7" s="191"/>
      <c r="H7" s="191"/>
      <c r="I7" s="191"/>
    </row>
    <row r="8" spans="1:9">
      <c r="A8" s="210" t="s">
        <v>250</v>
      </c>
      <c r="B8" s="197"/>
      <c r="C8" s="210"/>
      <c r="D8" s="197"/>
      <c r="E8" s="210"/>
      <c r="F8" s="197"/>
      <c r="G8" s="191"/>
      <c r="H8" s="191"/>
      <c r="I8" s="191"/>
    </row>
    <row r="9" spans="1:9">
      <c r="A9" s="210"/>
      <c r="B9" s="197"/>
      <c r="C9" s="197"/>
      <c r="D9" s="197"/>
      <c r="E9" s="197"/>
      <c r="F9" s="197"/>
      <c r="G9" s="197"/>
      <c r="H9" s="197"/>
      <c r="I9" s="197"/>
    </row>
    <row r="10" spans="1:9">
      <c r="A10" s="210"/>
      <c r="B10" s="197"/>
      <c r="C10" s="197"/>
      <c r="D10" s="197"/>
      <c r="E10" s="197"/>
      <c r="F10" s="197"/>
      <c r="G10" s="197"/>
      <c r="H10" s="197"/>
      <c r="I10" s="197"/>
    </row>
    <row r="11" spans="1:9">
      <c r="A11" s="210" t="s">
        <v>289</v>
      </c>
      <c r="B11" s="197"/>
      <c r="C11" s="197"/>
      <c r="D11" s="197"/>
      <c r="E11" s="197"/>
      <c r="F11" s="197"/>
      <c r="G11" s="197"/>
      <c r="H11" s="197"/>
      <c r="I11" s="197"/>
    </row>
    <row r="12" spans="1:9">
      <c r="A12" s="209" t="s">
        <v>155</v>
      </c>
      <c r="B12" s="197"/>
      <c r="C12" s="197"/>
      <c r="D12" s="197"/>
      <c r="E12" s="197"/>
      <c r="F12" s="197"/>
      <c r="G12" s="197"/>
      <c r="H12" s="197"/>
      <c r="I12" s="197"/>
    </row>
    <row r="13" spans="1:9">
      <c r="A13" s="190" t="s">
        <v>156</v>
      </c>
      <c r="B13" s="190" t="s">
        <v>157</v>
      </c>
      <c r="C13" s="190" t="s">
        <v>158</v>
      </c>
      <c r="D13" s="190" t="s">
        <v>159</v>
      </c>
      <c r="E13" s="190" t="s">
        <v>160</v>
      </c>
      <c r="F13" s="190" t="s">
        <v>161</v>
      </c>
      <c r="G13" s="190" t="s">
        <v>162</v>
      </c>
      <c r="H13" s="190" t="s">
        <v>163</v>
      </c>
      <c r="I13" s="190" t="s">
        <v>290</v>
      </c>
    </row>
    <row r="14" spans="1:9" s="17" customFormat="1">
      <c r="A14" s="155">
        <v>46025</v>
      </c>
      <c r="B14" s="155">
        <v>46025</v>
      </c>
      <c r="C14" s="156" t="s">
        <v>239</v>
      </c>
      <c r="D14" s="157">
        <v>703</v>
      </c>
      <c r="E14" s="157">
        <v>24.57</v>
      </c>
      <c r="F14" s="157">
        <v>0</v>
      </c>
      <c r="G14" s="158">
        <v>28784.59</v>
      </c>
      <c r="H14" s="157"/>
      <c r="I14" s="157"/>
    </row>
    <row r="15" spans="1:9" s="17" customFormat="1">
      <c r="A15" s="155">
        <v>46025</v>
      </c>
      <c r="B15" s="155">
        <v>46025</v>
      </c>
      <c r="C15" s="156" t="s">
        <v>257</v>
      </c>
      <c r="D15" s="157">
        <v>42663</v>
      </c>
      <c r="E15" s="157">
        <v>77</v>
      </c>
      <c r="F15" s="157">
        <v>0</v>
      </c>
      <c r="G15" s="158">
        <v>28707.59</v>
      </c>
      <c r="H15" s="157"/>
      <c r="I15" s="157"/>
    </row>
    <row r="16" spans="1:9" s="4" customFormat="1">
      <c r="A16" s="160">
        <v>46025</v>
      </c>
      <c r="B16" s="160">
        <v>46025</v>
      </c>
      <c r="C16" s="161" t="s">
        <v>164</v>
      </c>
      <c r="D16" s="162">
        <v>99012</v>
      </c>
      <c r="E16" s="162">
        <v>0</v>
      </c>
      <c r="F16" s="162">
        <v>320</v>
      </c>
      <c r="G16" s="163">
        <v>29027.59</v>
      </c>
      <c r="H16" s="161" t="s">
        <v>165</v>
      </c>
      <c r="I16" s="162"/>
    </row>
    <row r="17" spans="1:9" s="4" customFormat="1">
      <c r="A17" s="160">
        <v>46025</v>
      </c>
      <c r="B17" s="160">
        <v>46025</v>
      </c>
      <c r="C17" s="161" t="s">
        <v>169</v>
      </c>
      <c r="D17" s="162">
        <v>4873628</v>
      </c>
      <c r="E17" s="162">
        <v>0</v>
      </c>
      <c r="F17" s="162">
        <v>350</v>
      </c>
      <c r="G17" s="163">
        <v>29377.59</v>
      </c>
      <c r="H17" s="161" t="s">
        <v>170</v>
      </c>
      <c r="I17" s="162"/>
    </row>
    <row r="18" spans="1:9" s="17" customFormat="1">
      <c r="A18" s="155">
        <v>46025</v>
      </c>
      <c r="B18" s="155">
        <v>46025</v>
      </c>
      <c r="C18" s="156" t="s">
        <v>171</v>
      </c>
      <c r="D18" s="157">
        <v>13637</v>
      </c>
      <c r="E18" s="157">
        <v>25</v>
      </c>
      <c r="F18" s="157">
        <v>0</v>
      </c>
      <c r="G18" s="158">
        <v>29352.59</v>
      </c>
      <c r="H18" s="157"/>
      <c r="I18" s="157"/>
    </row>
    <row r="19" spans="1:9" s="17" customFormat="1">
      <c r="A19" s="155">
        <v>46025</v>
      </c>
      <c r="B19" s="155">
        <v>46025</v>
      </c>
      <c r="C19" s="156" t="s">
        <v>291</v>
      </c>
      <c r="D19" s="157">
        <v>15</v>
      </c>
      <c r="E19" s="157">
        <v>24.75</v>
      </c>
      <c r="F19" s="157">
        <v>0</v>
      </c>
      <c r="G19" s="158">
        <v>29327.84</v>
      </c>
      <c r="H19" s="156" t="s">
        <v>173</v>
      </c>
      <c r="I19" s="157"/>
    </row>
    <row r="20" spans="1:9" s="17" customFormat="1">
      <c r="A20" s="155">
        <v>46056</v>
      </c>
      <c r="B20" s="155">
        <v>46056</v>
      </c>
      <c r="C20" s="156" t="s">
        <v>257</v>
      </c>
      <c r="D20" s="157">
        <v>42663</v>
      </c>
      <c r="E20" s="157">
        <v>74.25</v>
      </c>
      <c r="F20" s="157">
        <v>0</v>
      </c>
      <c r="G20" s="158">
        <v>29253.59</v>
      </c>
      <c r="H20" s="157"/>
      <c r="I20" s="157"/>
    </row>
    <row r="21" spans="1:9" s="4" customFormat="1">
      <c r="A21" s="160">
        <v>46056</v>
      </c>
      <c r="B21" s="160">
        <v>46056</v>
      </c>
      <c r="C21" s="161" t="s">
        <v>164</v>
      </c>
      <c r="D21" s="162">
        <v>99012</v>
      </c>
      <c r="E21" s="162">
        <v>0</v>
      </c>
      <c r="F21" s="162">
        <v>350</v>
      </c>
      <c r="G21" s="163">
        <v>29603.59</v>
      </c>
      <c r="H21" s="161" t="s">
        <v>176</v>
      </c>
      <c r="I21" s="162"/>
    </row>
    <row r="22" spans="1:9" s="4" customFormat="1">
      <c r="A22" s="160">
        <v>46056</v>
      </c>
      <c r="B22" s="160">
        <v>46056</v>
      </c>
      <c r="C22" s="161" t="s">
        <v>164</v>
      </c>
      <c r="D22" s="162">
        <v>99012</v>
      </c>
      <c r="E22" s="162">
        <v>0</v>
      </c>
      <c r="F22" s="162">
        <v>350</v>
      </c>
      <c r="G22" s="163">
        <v>29953.59</v>
      </c>
      <c r="H22" s="161" t="s">
        <v>177</v>
      </c>
      <c r="I22" s="162"/>
    </row>
    <row r="23" spans="1:9" s="4" customFormat="1">
      <c r="A23" s="160">
        <v>46056</v>
      </c>
      <c r="B23" s="160">
        <v>46056</v>
      </c>
      <c r="C23" s="161" t="s">
        <v>169</v>
      </c>
      <c r="D23" s="162">
        <v>4668970</v>
      </c>
      <c r="E23" s="162">
        <v>0</v>
      </c>
      <c r="F23" s="162">
        <v>350</v>
      </c>
      <c r="G23" s="163">
        <v>30303.59</v>
      </c>
      <c r="H23" s="161" t="s">
        <v>178</v>
      </c>
      <c r="I23" s="162"/>
    </row>
    <row r="24" spans="1:9" s="4" customFormat="1">
      <c r="A24" s="160">
        <v>46115</v>
      </c>
      <c r="B24" s="160">
        <v>46115</v>
      </c>
      <c r="C24" s="161" t="s">
        <v>169</v>
      </c>
      <c r="D24" s="162">
        <v>4878373</v>
      </c>
      <c r="E24" s="162">
        <v>0</v>
      </c>
      <c r="F24" s="162">
        <v>350</v>
      </c>
      <c r="G24" s="163">
        <v>30653.59</v>
      </c>
      <c r="H24" s="161" t="s">
        <v>182</v>
      </c>
      <c r="I24" s="162"/>
    </row>
    <row r="25" spans="1:9" s="4" customFormat="1">
      <c r="A25" s="160">
        <v>46145</v>
      </c>
      <c r="B25" s="160">
        <v>46145</v>
      </c>
      <c r="C25" s="161" t="s">
        <v>183</v>
      </c>
      <c r="D25" s="162">
        <v>99011</v>
      </c>
      <c r="E25" s="162">
        <v>0</v>
      </c>
      <c r="F25" s="162">
        <v>320</v>
      </c>
      <c r="G25" s="163">
        <v>30973.59</v>
      </c>
      <c r="H25" s="161" t="s">
        <v>184</v>
      </c>
      <c r="I25" s="162"/>
    </row>
    <row r="26" spans="1:9" s="4" customFormat="1">
      <c r="A26" s="160">
        <v>46145</v>
      </c>
      <c r="B26" s="160">
        <v>46145</v>
      </c>
      <c r="C26" s="161" t="s">
        <v>185</v>
      </c>
      <c r="D26" s="162">
        <v>99014</v>
      </c>
      <c r="E26" s="162">
        <v>0</v>
      </c>
      <c r="F26" s="162">
        <v>350</v>
      </c>
      <c r="G26" s="163">
        <v>31323.59</v>
      </c>
      <c r="H26" s="161" t="s">
        <v>186</v>
      </c>
      <c r="I26" s="162"/>
    </row>
    <row r="27" spans="1:9" s="4" customFormat="1">
      <c r="A27" s="160">
        <v>46145</v>
      </c>
      <c r="B27" s="160">
        <v>46145</v>
      </c>
      <c r="C27" s="161" t="s">
        <v>169</v>
      </c>
      <c r="D27" s="162">
        <v>4789577</v>
      </c>
      <c r="E27" s="162">
        <v>0</v>
      </c>
      <c r="F27" s="162">
        <v>350</v>
      </c>
      <c r="G27" s="163">
        <v>31673.59</v>
      </c>
      <c r="H27" s="161" t="s">
        <v>187</v>
      </c>
      <c r="I27" s="162"/>
    </row>
    <row r="28" spans="1:9" s="17" customFormat="1">
      <c r="A28" s="155">
        <v>46145</v>
      </c>
      <c r="B28" s="155">
        <v>46145</v>
      </c>
      <c r="C28" s="156" t="s">
        <v>179</v>
      </c>
      <c r="D28" s="157">
        <v>136684</v>
      </c>
      <c r="E28" s="157">
        <v>900</v>
      </c>
      <c r="F28" s="157">
        <v>0</v>
      </c>
      <c r="G28" s="158">
        <v>30773.59</v>
      </c>
      <c r="H28" s="156" t="s">
        <v>256</v>
      </c>
      <c r="I28" s="157"/>
    </row>
    <row r="29" spans="1:9" s="154" customFormat="1">
      <c r="A29" s="164">
        <v>46176</v>
      </c>
      <c r="B29" s="164">
        <v>46176</v>
      </c>
      <c r="C29" s="165" t="s">
        <v>185</v>
      </c>
      <c r="D29" s="166">
        <v>99014</v>
      </c>
      <c r="E29" s="166">
        <v>0</v>
      </c>
      <c r="F29" s="166">
        <v>500</v>
      </c>
      <c r="G29" s="167">
        <v>31273.59</v>
      </c>
      <c r="H29" s="165" t="s">
        <v>292</v>
      </c>
      <c r="I29" s="166"/>
    </row>
    <row r="30" spans="1:9" s="4" customFormat="1">
      <c r="A30" s="160">
        <v>46176</v>
      </c>
      <c r="B30" s="160">
        <v>46176</v>
      </c>
      <c r="C30" s="161" t="s">
        <v>169</v>
      </c>
      <c r="D30" s="162">
        <v>4870113</v>
      </c>
      <c r="E30" s="162">
        <v>0</v>
      </c>
      <c r="F30" s="162">
        <v>350</v>
      </c>
      <c r="G30" s="163">
        <v>31623.59</v>
      </c>
      <c r="H30" s="161" t="s">
        <v>189</v>
      </c>
      <c r="I30" s="162"/>
    </row>
    <row r="31" spans="1:9" s="4" customFormat="1">
      <c r="A31" s="160">
        <v>46237</v>
      </c>
      <c r="B31" s="160">
        <v>46237</v>
      </c>
      <c r="C31" s="161" t="s">
        <v>164</v>
      </c>
      <c r="D31" s="162">
        <v>99012</v>
      </c>
      <c r="E31" s="162">
        <v>0</v>
      </c>
      <c r="F31" s="162">
        <v>350</v>
      </c>
      <c r="G31" s="163">
        <v>31973.59</v>
      </c>
      <c r="H31" s="161" t="s">
        <v>259</v>
      </c>
      <c r="I31" s="162"/>
    </row>
    <row r="32" spans="1:9" s="4" customFormat="1">
      <c r="A32" s="160">
        <v>46268</v>
      </c>
      <c r="B32" s="160">
        <v>46268</v>
      </c>
      <c r="C32" s="161" t="s">
        <v>169</v>
      </c>
      <c r="D32" s="162">
        <v>4763312</v>
      </c>
      <c r="E32" s="162">
        <v>0</v>
      </c>
      <c r="F32" s="162">
        <v>350</v>
      </c>
      <c r="G32" s="163">
        <v>32323.59</v>
      </c>
      <c r="H32" s="161" t="s">
        <v>200</v>
      </c>
      <c r="I32" s="162"/>
    </row>
    <row r="33" spans="1:9" s="4" customFormat="1">
      <c r="A33" s="160">
        <v>46268</v>
      </c>
      <c r="B33" s="160">
        <v>46268</v>
      </c>
      <c r="C33" s="161" t="s">
        <v>169</v>
      </c>
      <c r="D33" s="162">
        <v>4899758</v>
      </c>
      <c r="E33" s="162">
        <v>0</v>
      </c>
      <c r="F33" s="162">
        <v>350</v>
      </c>
      <c r="G33" s="163">
        <v>32673.59</v>
      </c>
      <c r="H33" s="161" t="s">
        <v>201</v>
      </c>
      <c r="I33" s="162"/>
    </row>
    <row r="34" spans="1:9" s="17" customFormat="1">
      <c r="A34" s="155">
        <v>46268</v>
      </c>
      <c r="B34" s="155">
        <v>46268</v>
      </c>
      <c r="C34" s="156" t="s">
        <v>169</v>
      </c>
      <c r="D34" s="157">
        <v>4932477</v>
      </c>
      <c r="E34" s="158">
        <v>7500</v>
      </c>
      <c r="F34" s="157">
        <v>0</v>
      </c>
      <c r="G34" s="158">
        <v>25173.59</v>
      </c>
      <c r="H34" s="156" t="s">
        <v>260</v>
      </c>
      <c r="I34" s="157"/>
    </row>
    <row r="35" spans="1:9" s="17" customFormat="1">
      <c r="A35" s="155">
        <v>46298</v>
      </c>
      <c r="B35" s="155">
        <v>46298</v>
      </c>
      <c r="C35" s="156" t="s">
        <v>202</v>
      </c>
      <c r="D35" s="157">
        <v>44855</v>
      </c>
      <c r="E35" s="157">
        <v>979</v>
      </c>
      <c r="F35" s="157">
        <v>0</v>
      </c>
      <c r="G35" s="158">
        <v>24194.59</v>
      </c>
      <c r="H35" s="157"/>
      <c r="I35" s="157"/>
    </row>
    <row r="36" spans="1:9" s="4" customFormat="1">
      <c r="A36" s="160">
        <v>46298</v>
      </c>
      <c r="B36" s="160">
        <v>46298</v>
      </c>
      <c r="C36" s="161" t="s">
        <v>183</v>
      </c>
      <c r="D36" s="162">
        <v>99011</v>
      </c>
      <c r="E36" s="162">
        <v>0</v>
      </c>
      <c r="F36" s="162">
        <v>350</v>
      </c>
      <c r="G36" s="163">
        <v>24544.59</v>
      </c>
      <c r="H36" s="161" t="s">
        <v>203</v>
      </c>
      <c r="I36" s="162"/>
    </row>
    <row r="37" spans="1:9" s="4" customFormat="1">
      <c r="A37" s="160">
        <v>46298</v>
      </c>
      <c r="B37" s="160">
        <v>46298</v>
      </c>
      <c r="C37" s="161" t="s">
        <v>183</v>
      </c>
      <c r="D37" s="162">
        <v>99011</v>
      </c>
      <c r="E37" s="162">
        <v>0</v>
      </c>
      <c r="F37" s="162">
        <v>350</v>
      </c>
      <c r="G37" s="163">
        <v>24894.59</v>
      </c>
      <c r="H37" s="161" t="s">
        <v>204</v>
      </c>
      <c r="I37" s="162"/>
    </row>
    <row r="38" spans="1:9" s="4" customFormat="1">
      <c r="A38" s="160">
        <v>46298</v>
      </c>
      <c r="B38" s="160">
        <v>46298</v>
      </c>
      <c r="C38" s="161" t="s">
        <v>183</v>
      </c>
      <c r="D38" s="162">
        <v>99011</v>
      </c>
      <c r="E38" s="162">
        <v>0</v>
      </c>
      <c r="F38" s="162">
        <v>350</v>
      </c>
      <c r="G38" s="163">
        <v>25244.59</v>
      </c>
      <c r="H38" s="161" t="s">
        <v>205</v>
      </c>
      <c r="I38" s="162"/>
    </row>
    <row r="39" spans="1:9" s="4" customFormat="1">
      <c r="A39" s="160">
        <v>46298</v>
      </c>
      <c r="B39" s="160">
        <v>46298</v>
      </c>
      <c r="C39" s="161" t="s">
        <v>164</v>
      </c>
      <c r="D39" s="162">
        <v>99012</v>
      </c>
      <c r="E39" s="162">
        <v>0</v>
      </c>
      <c r="F39" s="162">
        <v>350</v>
      </c>
      <c r="G39" s="163">
        <v>25594.59</v>
      </c>
      <c r="H39" s="161" t="s">
        <v>196</v>
      </c>
      <c r="I39" s="162"/>
    </row>
    <row r="40" spans="1:9" s="4" customFormat="1">
      <c r="A40" s="160">
        <v>46298</v>
      </c>
      <c r="B40" s="160">
        <v>46298</v>
      </c>
      <c r="C40" s="161" t="s">
        <v>164</v>
      </c>
      <c r="D40" s="162">
        <v>99012</v>
      </c>
      <c r="E40" s="162">
        <v>0</v>
      </c>
      <c r="F40" s="162">
        <v>350</v>
      </c>
      <c r="G40" s="163">
        <v>25944.59</v>
      </c>
      <c r="H40" s="161" t="s">
        <v>262</v>
      </c>
      <c r="I40" s="162"/>
    </row>
    <row r="41" spans="1:9" s="4" customFormat="1">
      <c r="A41" s="160">
        <v>46298</v>
      </c>
      <c r="B41" s="160">
        <v>46298</v>
      </c>
      <c r="C41" s="161" t="s">
        <v>164</v>
      </c>
      <c r="D41" s="162">
        <v>99012</v>
      </c>
      <c r="E41" s="162">
        <v>0</v>
      </c>
      <c r="F41" s="162">
        <v>350</v>
      </c>
      <c r="G41" s="163">
        <v>26294.59</v>
      </c>
      <c r="H41" s="161" t="s">
        <v>197</v>
      </c>
      <c r="I41" s="162"/>
    </row>
    <row r="42" spans="1:9" s="4" customFormat="1">
      <c r="A42" s="160">
        <v>46298</v>
      </c>
      <c r="B42" s="160">
        <v>46298</v>
      </c>
      <c r="C42" s="161" t="s">
        <v>164</v>
      </c>
      <c r="D42" s="162">
        <v>99012</v>
      </c>
      <c r="E42" s="162">
        <v>0</v>
      </c>
      <c r="F42" s="162">
        <v>350</v>
      </c>
      <c r="G42" s="163">
        <v>26644.59</v>
      </c>
      <c r="H42" s="161" t="s">
        <v>195</v>
      </c>
      <c r="I42" s="162"/>
    </row>
    <row r="43" spans="1:9" s="4" customFormat="1">
      <c r="A43" s="160">
        <v>46298</v>
      </c>
      <c r="B43" s="160">
        <v>46298</v>
      </c>
      <c r="C43" s="161" t="s">
        <v>164</v>
      </c>
      <c r="D43" s="162">
        <v>99012</v>
      </c>
      <c r="E43" s="162">
        <v>0</v>
      </c>
      <c r="F43" s="162">
        <v>350</v>
      </c>
      <c r="G43" s="163">
        <v>26994.59</v>
      </c>
      <c r="H43" s="161" t="s">
        <v>198</v>
      </c>
      <c r="I43" s="162"/>
    </row>
    <row r="44" spans="1:9" s="4" customFormat="1">
      <c r="A44" s="160">
        <v>46298</v>
      </c>
      <c r="B44" s="160">
        <v>46298</v>
      </c>
      <c r="C44" s="161" t="s">
        <v>164</v>
      </c>
      <c r="D44" s="162">
        <v>99012</v>
      </c>
      <c r="E44" s="162">
        <v>0</v>
      </c>
      <c r="F44" s="162">
        <v>350</v>
      </c>
      <c r="G44" s="163">
        <v>27344.59</v>
      </c>
      <c r="H44" s="161" t="s">
        <v>199</v>
      </c>
      <c r="I44" s="162"/>
    </row>
    <row r="45" spans="1:9" s="4" customFormat="1">
      <c r="A45" s="160">
        <v>46298</v>
      </c>
      <c r="B45" s="160">
        <v>46298</v>
      </c>
      <c r="C45" s="161" t="s">
        <v>185</v>
      </c>
      <c r="D45" s="162">
        <v>99014</v>
      </c>
      <c r="E45" s="162">
        <v>0</v>
      </c>
      <c r="F45" s="162">
        <v>350</v>
      </c>
      <c r="G45" s="163">
        <v>27694.59</v>
      </c>
      <c r="H45" s="161" t="s">
        <v>206</v>
      </c>
      <c r="I45" s="162"/>
    </row>
    <row r="46" spans="1:9" s="4" customFormat="1">
      <c r="A46" s="160">
        <v>46298</v>
      </c>
      <c r="B46" s="160">
        <v>46298</v>
      </c>
      <c r="C46" s="161" t="s">
        <v>185</v>
      </c>
      <c r="D46" s="162">
        <v>99014</v>
      </c>
      <c r="E46" s="162">
        <v>0</v>
      </c>
      <c r="F46" s="162">
        <v>350</v>
      </c>
      <c r="G46" s="163">
        <v>28044.59</v>
      </c>
      <c r="H46" s="161" t="s">
        <v>207</v>
      </c>
      <c r="I46" s="162"/>
    </row>
    <row r="47" spans="1:9" s="4" customFormat="1">
      <c r="A47" s="160">
        <v>46298</v>
      </c>
      <c r="B47" s="160">
        <v>46298</v>
      </c>
      <c r="C47" s="161" t="s">
        <v>185</v>
      </c>
      <c r="D47" s="162">
        <v>99014</v>
      </c>
      <c r="E47" s="162">
        <v>0</v>
      </c>
      <c r="F47" s="162">
        <v>350</v>
      </c>
      <c r="G47" s="163">
        <v>28394.59</v>
      </c>
      <c r="H47" s="161" t="s">
        <v>208</v>
      </c>
      <c r="I47" s="162"/>
    </row>
    <row r="48" spans="1:9" s="4" customFormat="1">
      <c r="A48" s="160">
        <v>46298</v>
      </c>
      <c r="B48" s="160">
        <v>46298</v>
      </c>
      <c r="C48" s="161" t="s">
        <v>209</v>
      </c>
      <c r="D48" s="162">
        <v>99020</v>
      </c>
      <c r="E48" s="162">
        <v>0</v>
      </c>
      <c r="F48" s="162">
        <v>350</v>
      </c>
      <c r="G48" s="163">
        <v>28744.59</v>
      </c>
      <c r="H48" s="161" t="s">
        <v>210</v>
      </c>
      <c r="I48" s="162"/>
    </row>
    <row r="49" spans="1:9" s="4" customFormat="1">
      <c r="A49" s="160">
        <v>46298</v>
      </c>
      <c r="B49" s="160">
        <v>46298</v>
      </c>
      <c r="C49" s="161" t="s">
        <v>169</v>
      </c>
      <c r="D49" s="162">
        <v>4512636</v>
      </c>
      <c r="E49" s="162">
        <v>0</v>
      </c>
      <c r="F49" s="162">
        <v>350</v>
      </c>
      <c r="G49" s="163">
        <v>29094.59</v>
      </c>
      <c r="H49" s="161" t="s">
        <v>212</v>
      </c>
      <c r="I49" s="162"/>
    </row>
    <row r="50" spans="1:9" s="17" customFormat="1">
      <c r="A50" s="155">
        <v>46298</v>
      </c>
      <c r="B50" s="155">
        <v>46298</v>
      </c>
      <c r="C50" s="156" t="s">
        <v>169</v>
      </c>
      <c r="D50" s="157">
        <v>4801703</v>
      </c>
      <c r="E50" s="157">
        <v>780.11</v>
      </c>
      <c r="F50" s="157">
        <v>0</v>
      </c>
      <c r="G50" s="158">
        <v>28314.48</v>
      </c>
      <c r="H50" s="156" t="s">
        <v>213</v>
      </c>
      <c r="I50" s="157"/>
    </row>
    <row r="51" spans="1:9" s="4" customFormat="1">
      <c r="A51" s="160">
        <v>46298</v>
      </c>
      <c r="B51" s="160">
        <v>46298</v>
      </c>
      <c r="C51" s="161" t="s">
        <v>169</v>
      </c>
      <c r="D51" s="162">
        <v>4875354</v>
      </c>
      <c r="E51" s="162">
        <v>0</v>
      </c>
      <c r="F51" s="162">
        <v>350</v>
      </c>
      <c r="G51" s="163">
        <v>28664.48</v>
      </c>
      <c r="H51" s="161" t="s">
        <v>214</v>
      </c>
      <c r="I51" s="162"/>
    </row>
    <row r="52" spans="1:9" s="4" customFormat="1">
      <c r="A52" s="160">
        <v>46298</v>
      </c>
      <c r="B52" s="160">
        <v>46298</v>
      </c>
      <c r="C52" s="161" t="s">
        <v>169</v>
      </c>
      <c r="D52" s="162">
        <v>4883868</v>
      </c>
      <c r="E52" s="162">
        <v>0</v>
      </c>
      <c r="F52" s="162">
        <v>350</v>
      </c>
      <c r="G52" s="163">
        <v>29014.48</v>
      </c>
      <c r="H52" s="161" t="s">
        <v>215</v>
      </c>
      <c r="I52" s="162"/>
    </row>
    <row r="53" spans="1:9" s="4" customFormat="1">
      <c r="A53" s="160">
        <v>46298</v>
      </c>
      <c r="B53" s="160">
        <v>46298</v>
      </c>
      <c r="C53" s="161" t="s">
        <v>179</v>
      </c>
      <c r="D53" s="162">
        <v>148252</v>
      </c>
      <c r="E53" s="162">
        <v>0</v>
      </c>
      <c r="F53" s="162">
        <v>640</v>
      </c>
      <c r="G53" s="163">
        <v>29654.48</v>
      </c>
      <c r="H53" s="161" t="s">
        <v>293</v>
      </c>
      <c r="I53" s="162"/>
    </row>
    <row r="54" spans="1:9" s="4" customFormat="1">
      <c r="A54" s="160">
        <v>46298</v>
      </c>
      <c r="B54" s="160">
        <v>46298</v>
      </c>
      <c r="C54" s="161" t="s">
        <v>179</v>
      </c>
      <c r="D54" s="162">
        <v>194707</v>
      </c>
      <c r="E54" s="162">
        <v>0</v>
      </c>
      <c r="F54" s="162">
        <v>60</v>
      </c>
      <c r="G54" s="163">
        <v>29714.48</v>
      </c>
      <c r="H54" s="161" t="s">
        <v>294</v>
      </c>
      <c r="I54" s="162"/>
    </row>
    <row r="55" spans="1:9" s="4" customFormat="1">
      <c r="A55" s="2">
        <v>46329</v>
      </c>
      <c r="B55" s="2">
        <v>46329</v>
      </c>
      <c r="C55" s="4" t="s">
        <v>169</v>
      </c>
      <c r="D55" s="4">
        <v>4974656</v>
      </c>
      <c r="E55" s="4">
        <v>0</v>
      </c>
      <c r="F55" s="4">
        <v>350</v>
      </c>
      <c r="G55" s="3">
        <v>30064.48</v>
      </c>
      <c r="H55" s="4" t="s">
        <v>295</v>
      </c>
    </row>
    <row r="56" spans="1:9" s="17" customFormat="1">
      <c r="A56" s="18">
        <v>46329</v>
      </c>
      <c r="B56" s="18">
        <v>46329</v>
      </c>
      <c r="C56" s="17" t="s">
        <v>179</v>
      </c>
      <c r="D56" s="17">
        <v>8499</v>
      </c>
      <c r="E56" s="19">
        <v>6500</v>
      </c>
      <c r="F56" s="17">
        <v>0</v>
      </c>
      <c r="G56" s="19">
        <v>23564.48</v>
      </c>
      <c r="H56" s="17" t="s">
        <v>296</v>
      </c>
    </row>
    <row r="57" spans="1:9" s="154" customFormat="1">
      <c r="A57" s="152">
        <v>46359</v>
      </c>
      <c r="B57" s="152">
        <v>46359</v>
      </c>
      <c r="C57" s="154" t="s">
        <v>181</v>
      </c>
      <c r="D57" s="154">
        <v>65815</v>
      </c>
      <c r="E57" s="154">
        <v>0</v>
      </c>
      <c r="F57" s="154">
        <v>500</v>
      </c>
      <c r="G57" s="153">
        <v>24064.48</v>
      </c>
    </row>
    <row r="58" spans="1:9" s="4" customFormat="1">
      <c r="A58" s="2">
        <v>46359</v>
      </c>
      <c r="B58" s="2">
        <v>46359</v>
      </c>
      <c r="C58" s="4" t="s">
        <v>183</v>
      </c>
      <c r="D58" s="4">
        <v>99011</v>
      </c>
      <c r="E58" s="4">
        <v>0</v>
      </c>
      <c r="F58" s="4">
        <v>350</v>
      </c>
      <c r="G58" s="3">
        <v>24414.48</v>
      </c>
      <c r="H58" s="4" t="s">
        <v>218</v>
      </c>
    </row>
    <row r="59" spans="1:9" s="4" customFormat="1">
      <c r="A59" s="4" t="s">
        <v>297</v>
      </c>
      <c r="B59" s="4" t="s">
        <v>297</v>
      </c>
      <c r="C59" s="4" t="s">
        <v>179</v>
      </c>
      <c r="D59" s="4">
        <v>68751</v>
      </c>
      <c r="E59" s="4">
        <v>0</v>
      </c>
      <c r="F59" s="4">
        <v>350</v>
      </c>
      <c r="G59" s="3">
        <v>24764.48</v>
      </c>
      <c r="H59" s="4" t="s">
        <v>237</v>
      </c>
    </row>
    <row r="60" spans="1:9" s="4" customFormat="1">
      <c r="A60" s="4" t="s">
        <v>298</v>
      </c>
      <c r="B60" s="4" t="s">
        <v>298</v>
      </c>
      <c r="C60" s="4" t="s">
        <v>190</v>
      </c>
      <c r="D60" s="4">
        <v>99004</v>
      </c>
      <c r="E60" s="4">
        <v>0</v>
      </c>
      <c r="F60" s="4">
        <v>350</v>
      </c>
      <c r="G60" s="3">
        <v>25114.48</v>
      </c>
      <c r="H60" s="4" t="s">
        <v>224</v>
      </c>
    </row>
    <row r="61" spans="1:9" s="154" customFormat="1">
      <c r="A61" s="154" t="s">
        <v>298</v>
      </c>
      <c r="B61" s="154" t="s">
        <v>298</v>
      </c>
      <c r="C61" s="154" t="s">
        <v>164</v>
      </c>
      <c r="D61" s="154">
        <v>99012</v>
      </c>
      <c r="E61" s="154">
        <v>0</v>
      </c>
      <c r="F61" s="154">
        <v>250</v>
      </c>
      <c r="G61" s="153">
        <v>25364.48</v>
      </c>
      <c r="H61" s="154" t="s">
        <v>299</v>
      </c>
    </row>
    <row r="62" spans="1:9" s="4" customFormat="1">
      <c r="A62" s="4" t="s">
        <v>298</v>
      </c>
      <c r="B62" s="4" t="s">
        <v>298</v>
      </c>
      <c r="C62" s="4" t="s">
        <v>164</v>
      </c>
      <c r="D62" s="4">
        <v>99012</v>
      </c>
      <c r="E62" s="4">
        <v>0</v>
      </c>
      <c r="F62" s="4">
        <v>350</v>
      </c>
      <c r="G62" s="3">
        <v>25714.48</v>
      </c>
      <c r="H62" s="4" t="s">
        <v>225</v>
      </c>
    </row>
    <row r="63" spans="1:9" s="4" customFormat="1">
      <c r="A63" s="4" t="s">
        <v>298</v>
      </c>
      <c r="B63" s="4" t="s">
        <v>298</v>
      </c>
      <c r="C63" s="4" t="s">
        <v>164</v>
      </c>
      <c r="D63" s="4">
        <v>99012</v>
      </c>
      <c r="E63" s="4">
        <v>0</v>
      </c>
      <c r="F63" s="4">
        <v>350</v>
      </c>
      <c r="G63" s="3">
        <v>26064.48</v>
      </c>
      <c r="H63" s="4" t="s">
        <v>300</v>
      </c>
    </row>
    <row r="64" spans="1:9" s="4" customFormat="1">
      <c r="A64" s="4" t="s">
        <v>298</v>
      </c>
      <c r="B64" s="4" t="s">
        <v>298</v>
      </c>
      <c r="C64" s="4" t="s">
        <v>185</v>
      </c>
      <c r="D64" s="4">
        <v>99014</v>
      </c>
      <c r="E64" s="4">
        <v>0</v>
      </c>
      <c r="F64" s="4">
        <v>350</v>
      </c>
      <c r="G64" s="3">
        <v>26414.48</v>
      </c>
      <c r="H64" s="4" t="s">
        <v>221</v>
      </c>
    </row>
    <row r="65" spans="1:8" s="4" customFormat="1">
      <c r="A65" s="4" t="s">
        <v>298</v>
      </c>
      <c r="B65" s="4" t="s">
        <v>298</v>
      </c>
      <c r="C65" s="4" t="s">
        <v>209</v>
      </c>
      <c r="D65" s="4">
        <v>99020</v>
      </c>
      <c r="E65" s="4">
        <v>0</v>
      </c>
      <c r="F65" s="4">
        <v>350</v>
      </c>
      <c r="G65" s="3">
        <v>26764.48</v>
      </c>
      <c r="H65" s="4" t="s">
        <v>269</v>
      </c>
    </row>
    <row r="66" spans="1:8" s="4" customFormat="1">
      <c r="A66" s="4" t="s">
        <v>298</v>
      </c>
      <c r="B66" s="4" t="s">
        <v>298</v>
      </c>
      <c r="C66" s="4" t="s">
        <v>209</v>
      </c>
      <c r="D66" s="4">
        <v>99020</v>
      </c>
      <c r="E66" s="4">
        <v>0</v>
      </c>
      <c r="F66" s="4">
        <v>350</v>
      </c>
      <c r="G66" s="3">
        <v>27114.48</v>
      </c>
      <c r="H66" s="4" t="s">
        <v>226</v>
      </c>
    </row>
    <row r="67" spans="1:8" s="4" customFormat="1">
      <c r="A67" s="4" t="s">
        <v>298</v>
      </c>
      <c r="B67" s="4" t="s">
        <v>298</v>
      </c>
      <c r="C67" s="4" t="s">
        <v>167</v>
      </c>
      <c r="D67" s="4">
        <v>99031</v>
      </c>
      <c r="E67" s="4">
        <v>0</v>
      </c>
      <c r="F67" s="4">
        <v>350</v>
      </c>
      <c r="G67" s="3">
        <v>27464.48</v>
      </c>
      <c r="H67" s="4" t="s">
        <v>222</v>
      </c>
    </row>
    <row r="68" spans="1:8" s="154" customFormat="1">
      <c r="A68" s="154" t="s">
        <v>298</v>
      </c>
      <c r="B68" s="154" t="s">
        <v>298</v>
      </c>
      <c r="C68" s="154" t="s">
        <v>167</v>
      </c>
      <c r="D68" s="154">
        <v>99031</v>
      </c>
      <c r="E68" s="154">
        <v>0</v>
      </c>
      <c r="F68" s="154">
        <v>500</v>
      </c>
      <c r="G68" s="153">
        <v>27964.48</v>
      </c>
      <c r="H68" s="154" t="s">
        <v>301</v>
      </c>
    </row>
    <row r="69" spans="1:8" s="4" customFormat="1">
      <c r="A69" s="4" t="s">
        <v>298</v>
      </c>
      <c r="B69" s="4" t="s">
        <v>298</v>
      </c>
      <c r="C69" s="4" t="s">
        <v>169</v>
      </c>
      <c r="D69" s="4">
        <v>4795693</v>
      </c>
      <c r="E69" s="4">
        <v>0</v>
      </c>
      <c r="F69" s="4">
        <v>350</v>
      </c>
      <c r="G69" s="3">
        <v>28314.48</v>
      </c>
      <c r="H69" s="4" t="s">
        <v>227</v>
      </c>
    </row>
    <row r="70" spans="1:8" s="4" customFormat="1">
      <c r="A70" s="4" t="s">
        <v>298</v>
      </c>
      <c r="B70" s="4" t="s">
        <v>298</v>
      </c>
      <c r="C70" s="4" t="s">
        <v>169</v>
      </c>
      <c r="D70" s="4">
        <v>4865441</v>
      </c>
      <c r="E70" s="4">
        <v>0</v>
      </c>
      <c r="F70" s="4">
        <v>350</v>
      </c>
      <c r="G70" s="3">
        <v>28664.48</v>
      </c>
      <c r="H70" s="4" t="s">
        <v>228</v>
      </c>
    </row>
    <row r="71" spans="1:8" s="4" customFormat="1">
      <c r="A71" s="4" t="s">
        <v>298</v>
      </c>
      <c r="B71" s="4" t="s">
        <v>298</v>
      </c>
      <c r="C71" s="4" t="s">
        <v>169</v>
      </c>
      <c r="D71" s="4">
        <v>4865951</v>
      </c>
      <c r="E71" s="4">
        <v>0</v>
      </c>
      <c r="F71" s="4">
        <v>350</v>
      </c>
      <c r="G71" s="3">
        <v>29014.48</v>
      </c>
      <c r="H71" s="4" t="s">
        <v>229</v>
      </c>
    </row>
    <row r="72" spans="1:8" s="4" customFormat="1">
      <c r="A72" s="4" t="s">
        <v>298</v>
      </c>
      <c r="B72" s="4" t="s">
        <v>298</v>
      </c>
      <c r="C72" s="4" t="s">
        <v>169</v>
      </c>
      <c r="D72" s="4">
        <v>4870920</v>
      </c>
      <c r="E72" s="4">
        <v>0</v>
      </c>
      <c r="F72" s="4">
        <v>350</v>
      </c>
      <c r="G72" s="3">
        <v>29364.48</v>
      </c>
      <c r="H72" s="4" t="s">
        <v>230</v>
      </c>
    </row>
    <row r="73" spans="1:8" s="4" customFormat="1">
      <c r="A73" s="4" t="s">
        <v>298</v>
      </c>
      <c r="B73" s="4" t="s">
        <v>298</v>
      </c>
      <c r="C73" s="4" t="s">
        <v>169</v>
      </c>
      <c r="D73" s="4">
        <v>4882283</v>
      </c>
      <c r="E73" s="4">
        <v>0</v>
      </c>
      <c r="F73" s="4">
        <v>350</v>
      </c>
      <c r="G73" s="3">
        <v>29714.48</v>
      </c>
      <c r="H73" s="4" t="s">
        <v>231</v>
      </c>
    </row>
    <row r="74" spans="1:8" s="4" customFormat="1">
      <c r="A74" s="4" t="s">
        <v>302</v>
      </c>
      <c r="B74" s="4" t="s">
        <v>302</v>
      </c>
      <c r="C74" s="4" t="s">
        <v>181</v>
      </c>
      <c r="D74" s="4">
        <v>16216</v>
      </c>
      <c r="E74" s="4">
        <v>0</v>
      </c>
      <c r="F74" s="4">
        <v>350</v>
      </c>
      <c r="G74" s="3">
        <v>30064.48</v>
      </c>
    </row>
    <row r="75" spans="1:8" s="4" customFormat="1">
      <c r="A75" s="4" t="s">
        <v>302</v>
      </c>
      <c r="B75" s="4" t="s">
        <v>302</v>
      </c>
      <c r="C75" s="4" t="s">
        <v>164</v>
      </c>
      <c r="D75" s="4">
        <v>99012</v>
      </c>
      <c r="E75" s="4">
        <v>0</v>
      </c>
      <c r="F75" s="4">
        <v>350</v>
      </c>
      <c r="G75" s="3">
        <v>30414.48</v>
      </c>
      <c r="H75" s="4" t="s">
        <v>303</v>
      </c>
    </row>
    <row r="76" spans="1:8" s="17" customFormat="1">
      <c r="A76" s="17" t="s">
        <v>304</v>
      </c>
      <c r="B76" s="17" t="s">
        <v>304</v>
      </c>
      <c r="C76" s="17" t="s">
        <v>235</v>
      </c>
      <c r="D76" s="17">
        <v>706</v>
      </c>
      <c r="E76" s="19">
        <v>3233.77</v>
      </c>
      <c r="F76" s="17">
        <v>0</v>
      </c>
      <c r="G76" s="19">
        <v>27180.71</v>
      </c>
    </row>
    <row r="77" spans="1:8" s="4" customFormat="1">
      <c r="A77" s="4" t="s">
        <v>304</v>
      </c>
      <c r="B77" s="4" t="s">
        <v>304</v>
      </c>
      <c r="C77" s="4" t="s">
        <v>240</v>
      </c>
      <c r="D77" s="4">
        <v>99017</v>
      </c>
      <c r="E77" s="4">
        <v>0</v>
      </c>
      <c r="F77" s="4">
        <v>440</v>
      </c>
      <c r="G77" s="3">
        <v>27620.71</v>
      </c>
      <c r="H77" s="4" t="s">
        <v>305</v>
      </c>
    </row>
    <row r="78" spans="1:8" s="4" customFormat="1">
      <c r="A78" s="4" t="s">
        <v>306</v>
      </c>
      <c r="B78" s="4" t="s">
        <v>306</v>
      </c>
      <c r="C78" s="4" t="s">
        <v>307</v>
      </c>
      <c r="D78" s="4">
        <v>18006</v>
      </c>
      <c r="E78" s="4">
        <v>0</v>
      </c>
      <c r="F78" s="4">
        <v>700</v>
      </c>
      <c r="G78" s="3">
        <v>28320.71</v>
      </c>
      <c r="H78" s="4" t="s">
        <v>308</v>
      </c>
    </row>
    <row r="79" spans="1:8" s="17" customFormat="1">
      <c r="A79" s="17" t="s">
        <v>309</v>
      </c>
      <c r="B79" s="17" t="s">
        <v>309</v>
      </c>
      <c r="C79" s="17" t="s">
        <v>236</v>
      </c>
      <c r="D79" s="17">
        <v>31274</v>
      </c>
      <c r="E79" s="17">
        <v>90.77</v>
      </c>
      <c r="F79" s="17">
        <v>0</v>
      </c>
      <c r="G79" s="19">
        <v>28229.94</v>
      </c>
    </row>
    <row r="80" spans="1:8" s="4" customFormat="1">
      <c r="A80" s="4" t="s">
        <v>310</v>
      </c>
      <c r="B80" s="4" t="s">
        <v>310</v>
      </c>
      <c r="C80" s="4" t="s">
        <v>164</v>
      </c>
      <c r="D80" s="4">
        <v>99012</v>
      </c>
      <c r="E80" s="4">
        <v>0</v>
      </c>
      <c r="F80" s="4">
        <v>850</v>
      </c>
      <c r="G80" s="3">
        <v>29079.94</v>
      </c>
      <c r="H80" s="4" t="s">
        <v>311</v>
      </c>
    </row>
    <row r="81" spans="1:8" s="17" customFormat="1">
      <c r="A81" s="17" t="s">
        <v>312</v>
      </c>
      <c r="B81" s="17" t="s">
        <v>312</v>
      </c>
      <c r="C81" s="17" t="s">
        <v>239</v>
      </c>
      <c r="D81" s="17">
        <v>703</v>
      </c>
      <c r="E81" s="17">
        <v>24.57</v>
      </c>
      <c r="F81" s="17">
        <v>0</v>
      </c>
      <c r="G81" s="19">
        <v>29055.37</v>
      </c>
    </row>
    <row r="82" spans="1:8" s="4" customFormat="1">
      <c r="A82" s="4" t="s">
        <v>312</v>
      </c>
      <c r="B82" s="4" t="s">
        <v>312</v>
      </c>
      <c r="C82" s="4" t="s">
        <v>169</v>
      </c>
      <c r="D82" s="4">
        <v>4837872</v>
      </c>
      <c r="E82" s="4">
        <v>0</v>
      </c>
      <c r="F82" s="4">
        <v>350</v>
      </c>
      <c r="G82" s="3">
        <v>29405.37</v>
      </c>
      <c r="H82" s="4" t="s">
        <v>244</v>
      </c>
    </row>
    <row r="83" spans="1:8" s="17" customFormat="1">
      <c r="A83" s="17" t="s">
        <v>313</v>
      </c>
      <c r="B83" s="17" t="s">
        <v>313</v>
      </c>
      <c r="C83" s="17" t="s">
        <v>246</v>
      </c>
      <c r="D83" s="17">
        <v>1086</v>
      </c>
      <c r="E83" s="19">
        <v>4549.4799999999996</v>
      </c>
      <c r="F83" s="17">
        <v>0</v>
      </c>
      <c r="G83" s="19">
        <v>24855.89</v>
      </c>
    </row>
  </sheetData>
  <mergeCells count="20">
    <mergeCell ref="A1:I1"/>
    <mergeCell ref="A2:I2"/>
    <mergeCell ref="A7:B7"/>
    <mergeCell ref="A4:I4"/>
    <mergeCell ref="E6:F6"/>
    <mergeCell ref="A3:I3"/>
    <mergeCell ref="A5:B5"/>
    <mergeCell ref="C6:D6"/>
    <mergeCell ref="C5:D5"/>
    <mergeCell ref="E5:F5"/>
    <mergeCell ref="A12:I12"/>
    <mergeCell ref="E8:F8"/>
    <mergeCell ref="A6:B6"/>
    <mergeCell ref="A11:I11"/>
    <mergeCell ref="A10:I10"/>
    <mergeCell ref="A9:I9"/>
    <mergeCell ref="A8:B8"/>
    <mergeCell ref="C8:D8"/>
    <mergeCell ref="C7:D7"/>
    <mergeCell ref="E7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314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315</v>
      </c>
      <c r="B7" s="129"/>
      <c r="C7" s="129" t="s">
        <v>153</v>
      </c>
      <c r="D7" s="129"/>
      <c r="E7" s="129" t="s">
        <v>316</v>
      </c>
      <c r="F7" s="129"/>
      <c r="G7" s="148"/>
      <c r="H7" s="148"/>
    </row>
    <row r="8" spans="1:8" ht="15" customHeight="1">
      <c r="A8" s="129" t="s">
        <v>250</v>
      </c>
      <c r="B8" s="129"/>
      <c r="C8" s="148"/>
      <c r="D8" s="148"/>
      <c r="E8" s="148"/>
      <c r="F8" s="148"/>
      <c r="G8" s="148"/>
      <c r="H8" s="148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30" t="s">
        <v>289</v>
      </c>
      <c r="B11" s="130"/>
      <c r="C11" s="130"/>
      <c r="D11" s="130"/>
      <c r="E11" s="130"/>
      <c r="F11" s="130"/>
      <c r="G11" s="130"/>
      <c r="H11" s="130"/>
    </row>
    <row r="12" spans="1:8" ht="15" customHeight="1">
      <c r="A12" s="129" t="s">
        <v>155</v>
      </c>
      <c r="B12" s="129"/>
      <c r="C12" s="129"/>
      <c r="D12" s="129"/>
      <c r="E12" s="129"/>
      <c r="F12" s="129"/>
      <c r="G12" s="129"/>
      <c r="H12" s="129"/>
    </row>
    <row r="13" spans="1:8">
      <c r="A13" s="129" t="s">
        <v>156</v>
      </c>
      <c r="B13" s="129" t="s">
        <v>157</v>
      </c>
      <c r="C13" s="129" t="s">
        <v>158</v>
      </c>
      <c r="D13" s="129" t="s">
        <v>159</v>
      </c>
      <c r="E13" s="129" t="s">
        <v>160</v>
      </c>
      <c r="F13" s="129" t="s">
        <v>161</v>
      </c>
      <c r="G13" s="129" t="s">
        <v>162</v>
      </c>
      <c r="H13" s="129" t="s">
        <v>163</v>
      </c>
    </row>
    <row r="14" spans="1:8" s="4" customFormat="1">
      <c r="A14" s="2">
        <v>46026</v>
      </c>
      <c r="B14" s="2">
        <v>46026</v>
      </c>
      <c r="C14" s="4" t="s">
        <v>181</v>
      </c>
      <c r="D14" s="4">
        <v>210835</v>
      </c>
      <c r="E14" s="4">
        <v>0</v>
      </c>
      <c r="F14" s="4">
        <v>350</v>
      </c>
      <c r="G14" s="3">
        <v>25205.89</v>
      </c>
    </row>
    <row r="15" spans="1:8" s="4" customFormat="1">
      <c r="A15" s="2">
        <v>46026</v>
      </c>
      <c r="B15" s="2">
        <v>46026</v>
      </c>
      <c r="C15" s="4" t="s">
        <v>164</v>
      </c>
      <c r="D15" s="4">
        <v>99012</v>
      </c>
      <c r="E15" s="4">
        <v>0</v>
      </c>
      <c r="F15" s="4">
        <v>320</v>
      </c>
      <c r="G15" s="3">
        <v>25525.89</v>
      </c>
      <c r="H15" s="4" t="s">
        <v>165</v>
      </c>
    </row>
    <row r="16" spans="1:8" s="4" customFormat="1">
      <c r="A16" s="2">
        <v>46026</v>
      </c>
      <c r="B16" s="2">
        <v>46026</v>
      </c>
      <c r="C16" s="4" t="s">
        <v>164</v>
      </c>
      <c r="D16" s="4">
        <v>99012</v>
      </c>
      <c r="E16" s="4">
        <v>0</v>
      </c>
      <c r="F16" s="4">
        <v>350</v>
      </c>
      <c r="G16" s="3">
        <v>25875.89</v>
      </c>
      <c r="H16" s="4" t="s">
        <v>176</v>
      </c>
    </row>
    <row r="17" spans="1:8" s="4" customFormat="1">
      <c r="A17" s="2">
        <v>46026</v>
      </c>
      <c r="B17" s="2">
        <v>46026</v>
      </c>
      <c r="C17" s="4" t="s">
        <v>164</v>
      </c>
      <c r="D17" s="4">
        <v>99012</v>
      </c>
      <c r="E17" s="4">
        <v>0</v>
      </c>
      <c r="F17" s="4">
        <v>350</v>
      </c>
      <c r="G17" s="3">
        <v>26225.89</v>
      </c>
      <c r="H17" s="4" t="s">
        <v>177</v>
      </c>
    </row>
    <row r="18" spans="1:8" s="4" customFormat="1">
      <c r="A18" s="2">
        <v>46026</v>
      </c>
      <c r="B18" s="2">
        <v>46026</v>
      </c>
      <c r="C18" s="4" t="s">
        <v>169</v>
      </c>
      <c r="D18" s="4">
        <v>4873628</v>
      </c>
      <c r="E18" s="4">
        <v>0</v>
      </c>
      <c r="F18" s="4">
        <v>350</v>
      </c>
      <c r="G18" s="3">
        <v>26575.89</v>
      </c>
      <c r="H18" s="4" t="s">
        <v>170</v>
      </c>
    </row>
    <row r="19" spans="1:8">
      <c r="A19" s="149">
        <v>46026</v>
      </c>
      <c r="B19" s="149">
        <v>46026</v>
      </c>
      <c r="C19" s="129" t="s">
        <v>171</v>
      </c>
      <c r="D19" s="129">
        <v>44842</v>
      </c>
      <c r="E19" s="129">
        <v>25</v>
      </c>
      <c r="F19" s="129">
        <v>0</v>
      </c>
      <c r="G19" s="147">
        <v>26550.89</v>
      </c>
      <c r="H19" s="148"/>
    </row>
    <row r="20" spans="1:8">
      <c r="A20" s="149">
        <v>46026</v>
      </c>
      <c r="B20" s="149">
        <v>46026</v>
      </c>
      <c r="C20" s="129" t="s">
        <v>317</v>
      </c>
      <c r="D20" s="129">
        <v>16</v>
      </c>
      <c r="E20" s="129">
        <v>26.4</v>
      </c>
      <c r="F20" s="129">
        <v>0</v>
      </c>
      <c r="G20" s="147">
        <v>26524.49</v>
      </c>
      <c r="H20" s="129" t="s">
        <v>173</v>
      </c>
    </row>
    <row r="21" spans="1:8">
      <c r="A21" s="149">
        <v>46085</v>
      </c>
      <c r="B21" s="149">
        <v>46085</v>
      </c>
      <c r="C21" s="129" t="s">
        <v>257</v>
      </c>
      <c r="D21" s="129">
        <v>42663</v>
      </c>
      <c r="E21" s="129">
        <v>77</v>
      </c>
      <c r="F21" s="129">
        <v>0</v>
      </c>
      <c r="G21" s="147">
        <v>26447.49</v>
      </c>
      <c r="H21" s="148"/>
    </row>
    <row r="22" spans="1:8" s="4" customFormat="1">
      <c r="A22" s="2">
        <v>46085</v>
      </c>
      <c r="B22" s="2">
        <v>46085</v>
      </c>
      <c r="C22" s="4" t="s">
        <v>169</v>
      </c>
      <c r="D22" s="4">
        <v>4668970</v>
      </c>
      <c r="E22" s="4">
        <v>0</v>
      </c>
      <c r="F22" s="4">
        <v>350</v>
      </c>
      <c r="G22" s="3">
        <v>26797.49</v>
      </c>
      <c r="H22" s="4" t="s">
        <v>178</v>
      </c>
    </row>
    <row r="23" spans="1:8" s="4" customFormat="1">
      <c r="A23" s="2">
        <v>46085</v>
      </c>
      <c r="B23" s="2">
        <v>46085</v>
      </c>
      <c r="C23" s="4" t="s">
        <v>169</v>
      </c>
      <c r="D23" s="4">
        <v>4878373</v>
      </c>
      <c r="E23" s="4">
        <v>0</v>
      </c>
      <c r="F23" s="4">
        <v>350</v>
      </c>
      <c r="G23" s="3">
        <v>27147.49</v>
      </c>
      <c r="H23" s="4" t="s">
        <v>182</v>
      </c>
    </row>
    <row r="24" spans="1:8" s="4" customFormat="1">
      <c r="A24" s="2">
        <v>46146</v>
      </c>
      <c r="B24" s="2">
        <v>46146</v>
      </c>
      <c r="C24" s="4" t="s">
        <v>183</v>
      </c>
      <c r="D24" s="4">
        <v>99011</v>
      </c>
      <c r="E24" s="4">
        <v>0</v>
      </c>
      <c r="F24" s="4">
        <v>320</v>
      </c>
      <c r="G24" s="3">
        <v>27467.49</v>
      </c>
      <c r="H24" s="4" t="s">
        <v>184</v>
      </c>
    </row>
    <row r="25" spans="1:8" s="4" customFormat="1">
      <c r="A25" s="2">
        <v>46146</v>
      </c>
      <c r="B25" s="2">
        <v>46146</v>
      </c>
      <c r="C25" s="4" t="s">
        <v>185</v>
      </c>
      <c r="D25" s="4">
        <v>99014</v>
      </c>
      <c r="E25" s="4">
        <v>0</v>
      </c>
      <c r="F25" s="4">
        <v>350</v>
      </c>
      <c r="G25" s="3">
        <v>27817.49</v>
      </c>
      <c r="H25" s="4" t="s">
        <v>186</v>
      </c>
    </row>
    <row r="26" spans="1:8" s="4" customFormat="1">
      <c r="A26" s="2">
        <v>46146</v>
      </c>
      <c r="B26" s="2">
        <v>46146</v>
      </c>
      <c r="C26" s="4" t="s">
        <v>169</v>
      </c>
      <c r="D26" s="4">
        <v>4789577</v>
      </c>
      <c r="E26" s="4">
        <v>0</v>
      </c>
      <c r="F26" s="4">
        <v>350</v>
      </c>
      <c r="G26" s="3">
        <v>28167.49</v>
      </c>
      <c r="H26" s="4" t="s">
        <v>187</v>
      </c>
    </row>
    <row r="27" spans="1:8" s="4" customFormat="1">
      <c r="A27" s="2">
        <v>46177</v>
      </c>
      <c r="B27" s="2">
        <v>46177</v>
      </c>
      <c r="C27" s="4" t="s">
        <v>169</v>
      </c>
      <c r="D27" s="4">
        <v>4870113</v>
      </c>
      <c r="E27" s="4">
        <v>0</v>
      </c>
      <c r="F27" s="4">
        <v>350</v>
      </c>
      <c r="G27" s="3">
        <v>28517.49</v>
      </c>
      <c r="H27" s="4" t="s">
        <v>189</v>
      </c>
    </row>
    <row r="28" spans="1:8" s="4" customFormat="1">
      <c r="A28" s="2">
        <v>46207</v>
      </c>
      <c r="B28" s="2">
        <v>46207</v>
      </c>
      <c r="C28" s="4" t="s">
        <v>164</v>
      </c>
      <c r="D28" s="4">
        <v>99012</v>
      </c>
      <c r="E28" s="4">
        <v>0</v>
      </c>
      <c r="F28" s="4">
        <v>350</v>
      </c>
      <c r="G28" s="3">
        <v>28867.49</v>
      </c>
      <c r="H28" s="4" t="s">
        <v>259</v>
      </c>
    </row>
    <row r="29" spans="1:8" s="4" customFormat="1">
      <c r="A29" s="2">
        <v>46269</v>
      </c>
      <c r="B29" s="2">
        <v>46269</v>
      </c>
      <c r="C29" s="4" t="s">
        <v>169</v>
      </c>
      <c r="D29" s="4">
        <v>4763312</v>
      </c>
      <c r="E29" s="4">
        <v>0</v>
      </c>
      <c r="F29" s="4">
        <v>350</v>
      </c>
      <c r="G29" s="3">
        <v>29217.49</v>
      </c>
      <c r="H29" s="4" t="s">
        <v>200</v>
      </c>
    </row>
    <row r="30" spans="1:8" s="4" customFormat="1">
      <c r="A30" s="2">
        <v>46269</v>
      </c>
      <c r="B30" s="2">
        <v>46269</v>
      </c>
      <c r="C30" s="4" t="s">
        <v>169</v>
      </c>
      <c r="D30" s="4">
        <v>4899758</v>
      </c>
      <c r="E30" s="4">
        <v>0</v>
      </c>
      <c r="F30" s="4">
        <v>350</v>
      </c>
      <c r="G30" s="3">
        <v>29567.49</v>
      </c>
      <c r="H30" s="4" t="s">
        <v>201</v>
      </c>
    </row>
    <row r="31" spans="1:8">
      <c r="A31" s="149">
        <v>46269</v>
      </c>
      <c r="B31" s="149">
        <v>46269</v>
      </c>
      <c r="C31" s="129" t="s">
        <v>169</v>
      </c>
      <c r="D31" s="129">
        <v>4932477</v>
      </c>
      <c r="E31" s="147">
        <v>7500</v>
      </c>
      <c r="F31" s="129">
        <v>0</v>
      </c>
      <c r="G31" s="147">
        <v>22067.49</v>
      </c>
      <c r="H31" s="129" t="s">
        <v>260</v>
      </c>
    </row>
    <row r="32" spans="1:8">
      <c r="A32" s="149">
        <v>46299</v>
      </c>
      <c r="B32" s="149">
        <v>46299</v>
      </c>
      <c r="C32" s="129" t="s">
        <v>202</v>
      </c>
      <c r="D32" s="129">
        <v>44855</v>
      </c>
      <c r="E32" s="129">
        <v>981</v>
      </c>
      <c r="F32" s="129">
        <v>0</v>
      </c>
      <c r="G32" s="147">
        <v>21086.49</v>
      </c>
      <c r="H32" s="148"/>
    </row>
    <row r="33" spans="1:8" s="4" customFormat="1">
      <c r="A33" s="2">
        <v>46299</v>
      </c>
      <c r="B33" s="2">
        <v>46299</v>
      </c>
      <c r="C33" s="4" t="s">
        <v>183</v>
      </c>
      <c r="D33" s="4">
        <v>99011</v>
      </c>
      <c r="E33" s="4">
        <v>0</v>
      </c>
      <c r="F33" s="4">
        <v>350</v>
      </c>
      <c r="G33" s="3">
        <v>21436.49</v>
      </c>
      <c r="H33" s="4" t="s">
        <v>203</v>
      </c>
    </row>
    <row r="34" spans="1:8" s="4" customFormat="1">
      <c r="A34" s="2">
        <v>46299</v>
      </c>
      <c r="B34" s="2">
        <v>46299</v>
      </c>
      <c r="C34" s="4" t="s">
        <v>183</v>
      </c>
      <c r="D34" s="4">
        <v>99011</v>
      </c>
      <c r="E34" s="4">
        <v>0</v>
      </c>
      <c r="F34" s="4">
        <v>350</v>
      </c>
      <c r="G34" s="3">
        <v>21786.49</v>
      </c>
      <c r="H34" s="4" t="s">
        <v>204</v>
      </c>
    </row>
    <row r="35" spans="1:8" s="4" customFormat="1">
      <c r="A35" s="2">
        <v>46299</v>
      </c>
      <c r="B35" s="2">
        <v>46299</v>
      </c>
      <c r="C35" s="4" t="s">
        <v>183</v>
      </c>
      <c r="D35" s="4">
        <v>99011</v>
      </c>
      <c r="E35" s="4">
        <v>0</v>
      </c>
      <c r="F35" s="4">
        <v>350</v>
      </c>
      <c r="G35" s="3">
        <v>22136.49</v>
      </c>
      <c r="H35" s="4" t="s">
        <v>205</v>
      </c>
    </row>
    <row r="36" spans="1:8" s="4" customFormat="1">
      <c r="A36" s="2">
        <v>46299</v>
      </c>
      <c r="B36" s="2">
        <v>46299</v>
      </c>
      <c r="C36" s="4" t="s">
        <v>164</v>
      </c>
      <c r="D36" s="4">
        <v>99012</v>
      </c>
      <c r="E36" s="4">
        <v>0</v>
      </c>
      <c r="F36" s="4">
        <v>350</v>
      </c>
      <c r="G36" s="3">
        <v>22486.49</v>
      </c>
      <c r="H36" s="4" t="s">
        <v>196</v>
      </c>
    </row>
    <row r="37" spans="1:8" s="4" customFormat="1">
      <c r="A37" s="2">
        <v>46299</v>
      </c>
      <c r="B37" s="2">
        <v>46299</v>
      </c>
      <c r="C37" s="4" t="s">
        <v>164</v>
      </c>
      <c r="D37" s="4">
        <v>99012</v>
      </c>
      <c r="E37" s="4">
        <v>0</v>
      </c>
      <c r="F37" s="4">
        <v>350</v>
      </c>
      <c r="G37" s="3">
        <v>22836.49</v>
      </c>
      <c r="H37" s="4" t="s">
        <v>262</v>
      </c>
    </row>
    <row r="38" spans="1:8" s="4" customFormat="1">
      <c r="A38" s="2">
        <v>46299</v>
      </c>
      <c r="B38" s="2">
        <v>46299</v>
      </c>
      <c r="C38" s="4" t="s">
        <v>164</v>
      </c>
      <c r="D38" s="4">
        <v>99012</v>
      </c>
      <c r="E38" s="4">
        <v>0</v>
      </c>
      <c r="F38" s="4">
        <v>350</v>
      </c>
      <c r="G38" s="3">
        <v>23186.49</v>
      </c>
      <c r="H38" s="4" t="s">
        <v>197</v>
      </c>
    </row>
    <row r="39" spans="1:8" s="4" customFormat="1">
      <c r="A39" s="2">
        <v>46299</v>
      </c>
      <c r="B39" s="2">
        <v>46299</v>
      </c>
      <c r="C39" s="4" t="s">
        <v>164</v>
      </c>
      <c r="D39" s="4">
        <v>99012</v>
      </c>
      <c r="E39" s="4">
        <v>0</v>
      </c>
      <c r="F39" s="4">
        <v>350</v>
      </c>
      <c r="G39" s="3">
        <v>23536.49</v>
      </c>
      <c r="H39" s="4" t="s">
        <v>195</v>
      </c>
    </row>
    <row r="40" spans="1:8" s="4" customFormat="1">
      <c r="A40" s="2">
        <v>46299</v>
      </c>
      <c r="B40" s="2">
        <v>46299</v>
      </c>
      <c r="C40" s="4" t="s">
        <v>164</v>
      </c>
      <c r="D40" s="4">
        <v>99012</v>
      </c>
      <c r="E40" s="4">
        <v>0</v>
      </c>
      <c r="F40" s="4">
        <v>350</v>
      </c>
      <c r="G40" s="3">
        <v>23886.49</v>
      </c>
      <c r="H40" s="4" t="s">
        <v>198</v>
      </c>
    </row>
    <row r="41" spans="1:8" s="4" customFormat="1">
      <c r="A41" s="2">
        <v>46299</v>
      </c>
      <c r="B41" s="2">
        <v>46299</v>
      </c>
      <c r="C41" s="4" t="s">
        <v>164</v>
      </c>
      <c r="D41" s="4">
        <v>99012</v>
      </c>
      <c r="E41" s="4">
        <v>0</v>
      </c>
      <c r="F41" s="4">
        <v>350</v>
      </c>
      <c r="G41" s="3">
        <v>24236.49</v>
      </c>
      <c r="H41" s="4" t="s">
        <v>199</v>
      </c>
    </row>
    <row r="42" spans="1:8" s="4" customFormat="1">
      <c r="A42" s="2">
        <v>46299</v>
      </c>
      <c r="B42" s="2">
        <v>46299</v>
      </c>
      <c r="C42" s="4" t="s">
        <v>185</v>
      </c>
      <c r="D42" s="4">
        <v>99014</v>
      </c>
      <c r="E42" s="4">
        <v>0</v>
      </c>
      <c r="F42" s="4">
        <v>350</v>
      </c>
      <c r="G42" s="3">
        <v>24586.49</v>
      </c>
      <c r="H42" s="4" t="s">
        <v>206</v>
      </c>
    </row>
    <row r="43" spans="1:8" s="4" customFormat="1">
      <c r="A43" s="2">
        <v>46299</v>
      </c>
      <c r="B43" s="2">
        <v>46299</v>
      </c>
      <c r="C43" s="4" t="s">
        <v>185</v>
      </c>
      <c r="D43" s="4">
        <v>99014</v>
      </c>
      <c r="E43" s="4">
        <v>0</v>
      </c>
      <c r="F43" s="4">
        <v>350</v>
      </c>
      <c r="G43" s="3">
        <v>24936.49</v>
      </c>
      <c r="H43" s="4" t="s">
        <v>207</v>
      </c>
    </row>
    <row r="44" spans="1:8" s="4" customFormat="1">
      <c r="A44" s="2">
        <v>46299</v>
      </c>
      <c r="B44" s="2">
        <v>46299</v>
      </c>
      <c r="C44" s="4" t="s">
        <v>185</v>
      </c>
      <c r="D44" s="4">
        <v>99014</v>
      </c>
      <c r="E44" s="4">
        <v>0</v>
      </c>
      <c r="F44" s="4">
        <v>350</v>
      </c>
      <c r="G44" s="3">
        <v>25286.49</v>
      </c>
      <c r="H44" s="4" t="s">
        <v>208</v>
      </c>
    </row>
    <row r="45" spans="1:8" s="4" customFormat="1">
      <c r="A45" s="2">
        <v>46299</v>
      </c>
      <c r="B45" s="2">
        <v>46299</v>
      </c>
      <c r="C45" s="4" t="s">
        <v>209</v>
      </c>
      <c r="D45" s="4">
        <v>99020</v>
      </c>
      <c r="E45" s="4">
        <v>0</v>
      </c>
      <c r="F45" s="4">
        <v>350</v>
      </c>
      <c r="G45" s="3">
        <v>25636.49</v>
      </c>
      <c r="H45" s="4" t="s">
        <v>210</v>
      </c>
    </row>
    <row r="46" spans="1:8" s="4" customFormat="1">
      <c r="A46" s="2">
        <v>46299</v>
      </c>
      <c r="B46" s="2">
        <v>46299</v>
      </c>
      <c r="C46" s="4" t="s">
        <v>169</v>
      </c>
      <c r="D46" s="4">
        <v>4512636</v>
      </c>
      <c r="E46" s="4">
        <v>0</v>
      </c>
      <c r="F46" s="4">
        <v>350</v>
      </c>
      <c r="G46" s="3">
        <v>25986.49</v>
      </c>
      <c r="H46" s="4" t="s">
        <v>212</v>
      </c>
    </row>
    <row r="47" spans="1:8" s="4" customFormat="1">
      <c r="A47" s="2">
        <v>46299</v>
      </c>
      <c r="B47" s="2">
        <v>46299</v>
      </c>
      <c r="C47" s="4" t="s">
        <v>169</v>
      </c>
      <c r="D47" s="4">
        <v>4875354</v>
      </c>
      <c r="E47" s="4">
        <v>0</v>
      </c>
      <c r="F47" s="4">
        <v>350</v>
      </c>
      <c r="G47" s="3">
        <v>26336.49</v>
      </c>
      <c r="H47" s="4" t="s">
        <v>214</v>
      </c>
    </row>
    <row r="48" spans="1:8" s="4" customFormat="1">
      <c r="A48" s="2">
        <v>46299</v>
      </c>
      <c r="B48" s="2">
        <v>46299</v>
      </c>
      <c r="C48" s="4" t="s">
        <v>169</v>
      </c>
      <c r="D48" s="4">
        <v>4883868</v>
      </c>
      <c r="E48" s="4">
        <v>0</v>
      </c>
      <c r="F48" s="4">
        <v>350</v>
      </c>
      <c r="G48" s="3">
        <v>26686.49</v>
      </c>
      <c r="H48" s="4" t="s">
        <v>215</v>
      </c>
    </row>
    <row r="49" spans="1:8" s="4" customFormat="1">
      <c r="A49" s="2">
        <v>46299</v>
      </c>
      <c r="B49" s="2">
        <v>46299</v>
      </c>
      <c r="C49" s="4" t="s">
        <v>169</v>
      </c>
      <c r="D49" s="4">
        <v>4908474</v>
      </c>
      <c r="E49" s="4">
        <v>0</v>
      </c>
      <c r="F49" s="4">
        <v>350</v>
      </c>
      <c r="G49" s="3">
        <v>27036.49</v>
      </c>
      <c r="H49" s="4" t="s">
        <v>216</v>
      </c>
    </row>
    <row r="50" spans="1:8" s="4" customFormat="1">
      <c r="A50" s="2">
        <v>46360</v>
      </c>
      <c r="B50" s="2">
        <v>46360</v>
      </c>
      <c r="C50" s="4" t="s">
        <v>183</v>
      </c>
      <c r="D50" s="4">
        <v>99011</v>
      </c>
      <c r="E50" s="4">
        <v>0</v>
      </c>
      <c r="F50" s="4">
        <v>350</v>
      </c>
      <c r="G50" s="3">
        <v>27386.49</v>
      </c>
      <c r="H50" s="4" t="s">
        <v>218</v>
      </c>
    </row>
    <row r="51" spans="1:8" s="154" customFormat="1">
      <c r="A51" s="152">
        <v>46360</v>
      </c>
      <c r="B51" s="152">
        <v>46360</v>
      </c>
      <c r="C51" s="154" t="s">
        <v>164</v>
      </c>
      <c r="D51" s="154">
        <v>99012</v>
      </c>
      <c r="E51" s="154">
        <v>0</v>
      </c>
      <c r="F51" s="154">
        <v>250</v>
      </c>
      <c r="G51" s="153">
        <v>27636.49</v>
      </c>
      <c r="H51" s="154" t="s">
        <v>318</v>
      </c>
    </row>
    <row r="52" spans="1:8" s="4" customFormat="1">
      <c r="A52" s="2">
        <v>46360</v>
      </c>
      <c r="B52" s="2">
        <v>46360</v>
      </c>
      <c r="C52" s="4" t="s">
        <v>164</v>
      </c>
      <c r="D52" s="4">
        <v>99012</v>
      </c>
      <c r="E52" s="4">
        <v>0</v>
      </c>
      <c r="F52" s="4">
        <v>350</v>
      </c>
      <c r="G52" s="3">
        <v>27986.49</v>
      </c>
      <c r="H52" s="4" t="s">
        <v>319</v>
      </c>
    </row>
    <row r="53" spans="1:8" s="154" customFormat="1">
      <c r="A53" s="152">
        <v>46360</v>
      </c>
      <c r="B53" s="152">
        <v>46360</v>
      </c>
      <c r="C53" s="154" t="s">
        <v>164</v>
      </c>
      <c r="D53" s="154">
        <v>99012</v>
      </c>
      <c r="E53" s="154">
        <v>0</v>
      </c>
      <c r="F53" s="154">
        <v>500</v>
      </c>
      <c r="G53" s="153">
        <v>28486.49</v>
      </c>
      <c r="H53" s="154" t="s">
        <v>320</v>
      </c>
    </row>
    <row r="54" spans="1:8" s="4" customFormat="1">
      <c r="A54" s="2">
        <v>46360</v>
      </c>
      <c r="B54" s="2">
        <v>46360</v>
      </c>
      <c r="C54" s="4" t="s">
        <v>169</v>
      </c>
      <c r="D54" s="4">
        <v>4974656</v>
      </c>
      <c r="E54" s="4">
        <v>0</v>
      </c>
      <c r="F54" s="4">
        <v>350</v>
      </c>
      <c r="G54" s="3">
        <v>28836.49</v>
      </c>
      <c r="H54" s="4" t="s">
        <v>295</v>
      </c>
    </row>
    <row r="55" spans="1:8" s="23" customFormat="1">
      <c r="A55" s="141">
        <v>46360</v>
      </c>
      <c r="B55" s="141">
        <v>46360</v>
      </c>
      <c r="C55" s="23" t="s">
        <v>179</v>
      </c>
      <c r="D55" s="23">
        <v>235254</v>
      </c>
      <c r="E55" s="23">
        <v>0</v>
      </c>
      <c r="F55" s="23">
        <v>550</v>
      </c>
      <c r="G55" s="115">
        <v>29386.49</v>
      </c>
      <c r="H55" s="23" t="s">
        <v>321</v>
      </c>
    </row>
    <row r="56" spans="1:8" s="4" customFormat="1">
      <c r="A56" s="4" t="s">
        <v>322</v>
      </c>
      <c r="B56" s="4" t="s">
        <v>322</v>
      </c>
      <c r="C56" s="4" t="s">
        <v>185</v>
      </c>
      <c r="D56" s="4">
        <v>99014</v>
      </c>
      <c r="E56" s="4">
        <v>0</v>
      </c>
      <c r="F56" s="4">
        <v>350</v>
      </c>
      <c r="G56" s="3">
        <v>29736.49</v>
      </c>
      <c r="H56" s="4" t="s">
        <v>221</v>
      </c>
    </row>
    <row r="57" spans="1:8" s="4" customFormat="1">
      <c r="A57" s="4" t="s">
        <v>322</v>
      </c>
      <c r="B57" s="4" t="s">
        <v>322</v>
      </c>
      <c r="C57" s="4" t="s">
        <v>167</v>
      </c>
      <c r="D57" s="4">
        <v>99031</v>
      </c>
      <c r="E57" s="4">
        <v>0</v>
      </c>
      <c r="F57" s="4">
        <v>350</v>
      </c>
      <c r="G57" s="3">
        <v>30086.49</v>
      </c>
      <c r="H57" s="4" t="s">
        <v>222</v>
      </c>
    </row>
    <row r="58" spans="1:8" s="4" customFormat="1">
      <c r="A58" s="4" t="s">
        <v>323</v>
      </c>
      <c r="B58" s="4" t="s">
        <v>323</v>
      </c>
      <c r="C58" s="4" t="s">
        <v>190</v>
      </c>
      <c r="D58" s="4">
        <v>99004</v>
      </c>
      <c r="E58" s="4">
        <v>0</v>
      </c>
      <c r="F58" s="4">
        <v>350</v>
      </c>
      <c r="G58" s="3">
        <v>30436.49</v>
      </c>
      <c r="H58" s="4" t="s">
        <v>224</v>
      </c>
    </row>
    <row r="59" spans="1:8" s="4" customFormat="1">
      <c r="A59" s="4" t="s">
        <v>323</v>
      </c>
      <c r="B59" s="4" t="s">
        <v>323</v>
      </c>
      <c r="C59" s="4" t="s">
        <v>164</v>
      </c>
      <c r="D59" s="4">
        <v>99012</v>
      </c>
      <c r="E59" s="4">
        <v>0</v>
      </c>
      <c r="F59" s="4">
        <v>350</v>
      </c>
      <c r="G59" s="3">
        <v>30786.49</v>
      </c>
      <c r="H59" s="4" t="s">
        <v>225</v>
      </c>
    </row>
    <row r="60" spans="1:8" s="4" customFormat="1">
      <c r="A60" s="4" t="s">
        <v>323</v>
      </c>
      <c r="B60" s="4" t="s">
        <v>323</v>
      </c>
      <c r="C60" s="4" t="s">
        <v>209</v>
      </c>
      <c r="D60" s="4">
        <v>99020</v>
      </c>
      <c r="E60" s="4">
        <v>0</v>
      </c>
      <c r="F60" s="4">
        <v>350</v>
      </c>
      <c r="G60" s="3">
        <v>31136.49</v>
      </c>
      <c r="H60" s="4" t="s">
        <v>269</v>
      </c>
    </row>
    <row r="61" spans="1:8" s="4" customFormat="1">
      <c r="A61" s="4" t="s">
        <v>323</v>
      </c>
      <c r="B61" s="4" t="s">
        <v>323</v>
      </c>
      <c r="C61" s="4" t="s">
        <v>209</v>
      </c>
      <c r="D61" s="4">
        <v>99020</v>
      </c>
      <c r="E61" s="4">
        <v>0</v>
      </c>
      <c r="F61" s="4">
        <v>350</v>
      </c>
      <c r="G61" s="3">
        <v>31486.49</v>
      </c>
      <c r="H61" s="4" t="s">
        <v>226</v>
      </c>
    </row>
    <row r="62" spans="1:8" s="4" customFormat="1">
      <c r="A62" s="4" t="s">
        <v>323</v>
      </c>
      <c r="B62" s="4" t="s">
        <v>323</v>
      </c>
      <c r="C62" s="4" t="s">
        <v>169</v>
      </c>
      <c r="D62" s="4">
        <v>4795693</v>
      </c>
      <c r="E62" s="4">
        <v>0</v>
      </c>
      <c r="F62" s="4">
        <v>350</v>
      </c>
      <c r="G62" s="3">
        <v>31836.49</v>
      </c>
      <c r="H62" s="4" t="s">
        <v>227</v>
      </c>
    </row>
    <row r="63" spans="1:8" s="4" customFormat="1">
      <c r="A63" s="4" t="s">
        <v>323</v>
      </c>
      <c r="B63" s="4" t="s">
        <v>323</v>
      </c>
      <c r="C63" s="4" t="s">
        <v>169</v>
      </c>
      <c r="D63" s="4">
        <v>4865441</v>
      </c>
      <c r="E63" s="4">
        <v>0</v>
      </c>
      <c r="F63" s="4">
        <v>350</v>
      </c>
      <c r="G63" s="3">
        <v>32186.49</v>
      </c>
      <c r="H63" s="4" t="s">
        <v>228</v>
      </c>
    </row>
    <row r="64" spans="1:8" s="4" customFormat="1">
      <c r="A64" s="4" t="s">
        <v>323</v>
      </c>
      <c r="B64" s="4" t="s">
        <v>323</v>
      </c>
      <c r="C64" s="4" t="s">
        <v>169</v>
      </c>
      <c r="D64" s="4">
        <v>4865951</v>
      </c>
      <c r="E64" s="4">
        <v>0</v>
      </c>
      <c r="F64" s="4">
        <v>350</v>
      </c>
      <c r="G64" s="3">
        <v>32536.49</v>
      </c>
      <c r="H64" s="4" t="s">
        <v>229</v>
      </c>
    </row>
    <row r="65" spans="1:8" s="4" customFormat="1">
      <c r="A65" s="4" t="s">
        <v>323</v>
      </c>
      <c r="B65" s="4" t="s">
        <v>323</v>
      </c>
      <c r="C65" s="4" t="s">
        <v>169</v>
      </c>
      <c r="D65" s="4">
        <v>4870920</v>
      </c>
      <c r="E65" s="4">
        <v>0</v>
      </c>
      <c r="F65" s="4">
        <v>350</v>
      </c>
      <c r="G65" s="3">
        <v>32886.49</v>
      </c>
      <c r="H65" s="4" t="s">
        <v>230</v>
      </c>
    </row>
    <row r="66" spans="1:8" s="4" customFormat="1">
      <c r="A66" s="4" t="s">
        <v>323</v>
      </c>
      <c r="B66" s="4" t="s">
        <v>323</v>
      </c>
      <c r="C66" s="4" t="s">
        <v>169</v>
      </c>
      <c r="D66" s="4">
        <v>4882283</v>
      </c>
      <c r="E66" s="4">
        <v>0</v>
      </c>
      <c r="F66" s="4">
        <v>350</v>
      </c>
      <c r="G66" s="3">
        <v>33236.49</v>
      </c>
      <c r="H66" s="4" t="s">
        <v>231</v>
      </c>
    </row>
    <row r="67" spans="1:8" s="4" customFormat="1">
      <c r="A67" s="4" t="s">
        <v>324</v>
      </c>
      <c r="B67" s="4" t="s">
        <v>324</v>
      </c>
      <c r="C67" s="4" t="s">
        <v>164</v>
      </c>
      <c r="D67" s="4">
        <v>99012</v>
      </c>
      <c r="E67" s="4">
        <v>0</v>
      </c>
      <c r="F67" s="4">
        <v>350</v>
      </c>
      <c r="G67" s="3">
        <v>33586.49</v>
      </c>
      <c r="H67" s="4" t="s">
        <v>325</v>
      </c>
    </row>
    <row r="68" spans="1:8">
      <c r="A68" s="129" t="s">
        <v>324</v>
      </c>
      <c r="B68" s="129" t="s">
        <v>324</v>
      </c>
      <c r="C68" s="129" t="s">
        <v>174</v>
      </c>
      <c r="D68" s="129">
        <v>57228</v>
      </c>
      <c r="E68" s="129">
        <v>239</v>
      </c>
      <c r="F68" s="129">
        <v>0</v>
      </c>
      <c r="G68" s="147">
        <v>33347.49</v>
      </c>
      <c r="H68" s="129" t="s">
        <v>326</v>
      </c>
    </row>
    <row r="69" spans="1:8">
      <c r="A69" s="129" t="s">
        <v>324</v>
      </c>
      <c r="B69" s="129" t="s">
        <v>324</v>
      </c>
      <c r="C69" s="129" t="s">
        <v>174</v>
      </c>
      <c r="D69" s="129">
        <v>60518</v>
      </c>
      <c r="E69" s="129">
        <v>69</v>
      </c>
      <c r="F69" s="129">
        <v>0</v>
      </c>
      <c r="G69" s="147">
        <v>33278.49</v>
      </c>
      <c r="H69" s="129" t="s">
        <v>327</v>
      </c>
    </row>
    <row r="70" spans="1:8">
      <c r="A70" s="129" t="s">
        <v>328</v>
      </c>
      <c r="B70" s="129" t="s">
        <v>328</v>
      </c>
      <c r="C70" s="129" t="s">
        <v>179</v>
      </c>
      <c r="D70" s="129">
        <v>23703</v>
      </c>
      <c r="E70" s="147">
        <v>2006</v>
      </c>
      <c r="F70" s="129">
        <v>0</v>
      </c>
      <c r="G70" s="147">
        <v>31272.49</v>
      </c>
      <c r="H70" s="129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style="169" bestFit="1" customWidth="1"/>
    <col min="2" max="2" width="13" style="169" bestFit="1" customWidth="1"/>
    <col min="3" max="3" width="11.85546875" style="169" bestFit="1" customWidth="1"/>
    <col min="4" max="4" width="12.28515625" style="169" bestFit="1" customWidth="1"/>
    <col min="5" max="5" width="11.5703125" style="169" bestFit="1" customWidth="1"/>
    <col min="6" max="9" width="10.85546875" style="169" bestFit="1" customWidth="1"/>
    <col min="10" max="10" width="13.85546875" style="169" customWidth="1"/>
    <col min="11" max="11" width="13.140625" style="169" customWidth="1"/>
    <col min="14" max="14" width="12.7109375" style="169" bestFit="1" customWidth="1"/>
  </cols>
  <sheetData>
    <row r="1" spans="1:18">
      <c r="A1" s="169" t="s">
        <v>330</v>
      </c>
      <c r="B1" s="169" t="s">
        <v>4</v>
      </c>
      <c r="C1" s="169" t="s">
        <v>5</v>
      </c>
      <c r="D1" s="169" t="s">
        <v>6</v>
      </c>
      <c r="E1" s="169" t="s">
        <v>7</v>
      </c>
      <c r="F1" s="169" t="s">
        <v>8</v>
      </c>
      <c r="G1" s="169" t="s">
        <v>9</v>
      </c>
      <c r="H1" s="169" t="s">
        <v>10</v>
      </c>
      <c r="I1" s="169" t="s">
        <v>11</v>
      </c>
      <c r="J1" s="169" t="s">
        <v>12</v>
      </c>
      <c r="K1" s="169" t="s">
        <v>13</v>
      </c>
      <c r="L1" s="169" t="s">
        <v>14</v>
      </c>
      <c r="M1" s="169" t="s">
        <v>15</v>
      </c>
      <c r="O1" s="169"/>
      <c r="P1" s="169"/>
      <c r="Q1" s="169"/>
      <c r="R1" s="169"/>
    </row>
    <row r="2" spans="1:18">
      <c r="A2" s="169" t="s">
        <v>331</v>
      </c>
      <c r="B2" s="186">
        <v>10266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O2" s="169"/>
      <c r="P2" s="169"/>
      <c r="Q2" s="169"/>
      <c r="R2" s="169"/>
    </row>
    <row r="3" spans="1:18">
      <c r="A3" s="169" t="s">
        <v>332</v>
      </c>
      <c r="B3" s="186">
        <v>500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O3" s="169"/>
      <c r="P3" s="20"/>
      <c r="Q3" s="20"/>
      <c r="R3" s="21"/>
    </row>
    <row r="4" spans="1:18">
      <c r="A4" s="169" t="s">
        <v>333</v>
      </c>
      <c r="B4" s="186"/>
      <c r="C4" s="186">
        <v>14350</v>
      </c>
      <c r="D4" s="186"/>
      <c r="E4" s="186"/>
      <c r="F4" s="186"/>
      <c r="G4" s="186"/>
      <c r="H4" s="186"/>
      <c r="I4" s="186"/>
      <c r="J4" s="186"/>
      <c r="K4" s="186"/>
      <c r="L4" s="186"/>
      <c r="M4" s="186"/>
      <c r="O4" s="169"/>
      <c r="P4" s="169"/>
      <c r="Q4" s="169"/>
      <c r="R4" s="169"/>
    </row>
    <row r="5" spans="1:18">
      <c r="A5" s="169" t="s">
        <v>334</v>
      </c>
      <c r="B5" s="186"/>
      <c r="C5" s="186">
        <v>700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O5" s="169"/>
      <c r="P5" s="169"/>
      <c r="Q5" s="169"/>
      <c r="R5" s="169"/>
    </row>
    <row r="6" spans="1:18"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O6" s="169"/>
      <c r="P6" s="169"/>
      <c r="Q6" s="169"/>
      <c r="R6" s="169"/>
    </row>
    <row r="7" spans="1:18"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O7" s="169"/>
      <c r="P7" s="169"/>
      <c r="Q7" s="169"/>
      <c r="R7" s="169"/>
    </row>
    <row r="8" spans="1:18"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O8" s="169"/>
      <c r="P8" s="169"/>
      <c r="Q8" s="169"/>
      <c r="R8" s="169"/>
    </row>
    <row r="9" spans="1:18"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O9" s="169"/>
      <c r="P9" s="169"/>
      <c r="Q9" s="169"/>
      <c r="R9" s="169"/>
    </row>
    <row r="10" spans="1:18"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O10" s="169"/>
      <c r="P10" s="169"/>
      <c r="Q10" s="169"/>
      <c r="R10" s="169"/>
    </row>
    <row r="11" spans="1:18"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O11" s="169"/>
      <c r="P11" s="169"/>
      <c r="Q11" s="169"/>
      <c r="R11" s="169"/>
    </row>
    <row r="12" spans="1:18"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O12" s="169"/>
      <c r="P12" s="169"/>
      <c r="Q12" s="169"/>
      <c r="R12" s="169"/>
    </row>
    <row r="13" spans="1:18"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O13" s="169"/>
      <c r="P13" s="169"/>
      <c r="Q13" s="169"/>
      <c r="R13" s="169"/>
    </row>
    <row r="14" spans="1:18"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O14" s="169"/>
      <c r="P14" s="169"/>
      <c r="Q14" s="169"/>
      <c r="R14" s="169"/>
    </row>
    <row r="15" spans="1:18"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O15" s="169"/>
      <c r="P15" s="169"/>
      <c r="Q15" s="169"/>
      <c r="R15" s="169"/>
    </row>
    <row r="16" spans="1:18"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O16" s="169"/>
      <c r="P16" s="169"/>
      <c r="Q16" s="169"/>
      <c r="R16" s="169"/>
    </row>
    <row r="17" spans="2:13"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</row>
    <row r="18" spans="2:13"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2:13"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</row>
    <row r="20" spans="2:13"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</row>
    <row r="26" spans="2:13"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</row>
    <row r="27" spans="2:13"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</row>
    <row r="28" spans="2:13"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</row>
    <row r="29" spans="2:13"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</row>
    <row r="30" spans="2:13"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</row>
    <row r="31" spans="2:13"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</row>
    <row r="32" spans="2:13"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</row>
    <row r="33" spans="1:14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</row>
    <row r="34" spans="1:1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</row>
    <row r="35" spans="1:14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</row>
    <row r="36" spans="1:14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</row>
    <row r="37" spans="1:14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</row>
    <row r="38" spans="1:14"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</row>
    <row r="39" spans="1:14"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spans="1:14"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</row>
    <row r="41" spans="1:14"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</row>
    <row r="42" spans="1:14"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20" t="s">
        <v>122</v>
      </c>
    </row>
    <row r="43" spans="1:14">
      <c r="A43" s="169" t="s">
        <v>96</v>
      </c>
      <c r="B43" s="186">
        <f>SUM(B2:B13)</f>
        <v>10766</v>
      </c>
      <c r="C43" s="186">
        <f>SUM(C2:C13)</f>
        <v>15050</v>
      </c>
      <c r="D43" s="186">
        <f>SUM(D2:D14)</f>
        <v>0</v>
      </c>
      <c r="E43" s="186">
        <f>SUM(E4:E18)</f>
        <v>0</v>
      </c>
      <c r="F43" s="186">
        <f>SUM(F4:F22)</f>
        <v>0</v>
      </c>
      <c r="G43" s="186">
        <f>SUM(G4:G26)</f>
        <v>0</v>
      </c>
      <c r="H43" s="186">
        <f>SUM(H4:H33)</f>
        <v>0</v>
      </c>
      <c r="I43" s="186">
        <f>SUM(I4:I33)</f>
        <v>0</v>
      </c>
      <c r="J43" s="186">
        <f>SUM(J4:J38)</f>
        <v>0</v>
      </c>
      <c r="K43" s="186">
        <f>SUM(K4:K40)</f>
        <v>0</v>
      </c>
      <c r="L43" s="186">
        <f>SUM(L36:L42)</f>
        <v>0</v>
      </c>
      <c r="M43" s="186"/>
      <c r="N43" s="187">
        <f>SUM(B43:M43)</f>
        <v>25816</v>
      </c>
    </row>
    <row r="47" spans="1:14">
      <c r="B47" s="169">
        <v>2024</v>
      </c>
      <c r="C47" s="169">
        <v>2025</v>
      </c>
      <c r="D47" s="169">
        <v>2026</v>
      </c>
      <c r="L47" s="169"/>
      <c r="M47" s="169"/>
    </row>
    <row r="48" spans="1:14">
      <c r="A48" s="169" t="s">
        <v>335</v>
      </c>
      <c r="B48" s="186">
        <v>30000</v>
      </c>
      <c r="C48" s="186">
        <v>29833</v>
      </c>
      <c r="D48" s="188">
        <f>'גביה 2026'!Q62</f>
        <v>19050</v>
      </c>
      <c r="L48" s="169"/>
      <c r="M48" s="169"/>
    </row>
    <row r="49" spans="1:4">
      <c r="A49" s="169" t="s">
        <v>336</v>
      </c>
      <c r="B49" s="186">
        <v>20057</v>
      </c>
      <c r="C49" s="186">
        <v>33893</v>
      </c>
      <c r="D49" s="188">
        <f>N43</f>
        <v>25816</v>
      </c>
    </row>
    <row r="50" spans="1:4">
      <c r="B50" s="186"/>
    </row>
    <row r="51" spans="1:4">
      <c r="B51" s="186"/>
    </row>
    <row r="57" spans="1:4">
      <c r="A57" s="20"/>
      <c r="B57" s="21"/>
    </row>
    <row r="58" spans="1:4">
      <c r="A58" s="20" t="s">
        <v>337</v>
      </c>
      <c r="B58" s="189">
        <f>B48+C48+D48</f>
        <v>78883</v>
      </c>
    </row>
    <row r="59" spans="1:4">
      <c r="A59" s="20" t="s">
        <v>338</v>
      </c>
      <c r="B59" s="189">
        <f>B49+C49+D49</f>
        <v>79766</v>
      </c>
    </row>
    <row r="60" spans="1:4">
      <c r="A60" s="20" t="s">
        <v>339</v>
      </c>
      <c r="B60" s="22">
        <f>B59/B58</f>
        <v>1.0111937933395028</v>
      </c>
    </row>
  </sheetData>
  <pageMargins left="0.7" right="0.7" top="0.75" bottom="0.75" header="0.3" footer="0.3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style="169" bestFit="1" customWidth="1"/>
    <col min="2" max="2" width="21.28515625" style="169" bestFit="1" customWidth="1"/>
    <col min="6" max="6" width="26.5703125" style="169" bestFit="1" customWidth="1"/>
    <col min="9" max="9" width="10.85546875" style="169" bestFit="1" customWidth="1"/>
    <col min="10" max="10" width="9.28515625" style="169" bestFit="1" customWidth="1"/>
    <col min="18" max="18" width="10.42578125" style="169" bestFit="1" customWidth="1"/>
    <col min="19" max="19" width="10.140625" style="169" bestFit="1" customWidth="1"/>
  </cols>
  <sheetData>
    <row r="1" spans="1:2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" customHeight="1">
      <c r="C5" s="169"/>
      <c r="D5" s="169"/>
      <c r="E5" s="169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C6" s="169"/>
      <c r="D6" s="169"/>
      <c r="E6" s="169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>
      <c r="C7" s="169"/>
      <c r="D7" s="169"/>
      <c r="E7" s="169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>
      <c r="C8" s="169"/>
      <c r="D8" s="169"/>
      <c r="E8" s="169"/>
      <c r="G8" s="49"/>
      <c r="H8" s="4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>
      <c r="C9" s="169"/>
      <c r="D9" s="169"/>
      <c r="E9" s="169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8.75" customHeight="1">
      <c r="A12" s="211" t="s">
        <v>340</v>
      </c>
      <c r="B12" s="212"/>
      <c r="C12" s="212"/>
      <c r="D12" s="212"/>
      <c r="E12" s="212"/>
      <c r="F12" s="212"/>
      <c r="G12" s="212"/>
      <c r="H12" s="212"/>
      <c r="I12" s="213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48.75" customHeight="1">
      <c r="A13" s="50" t="s">
        <v>341</v>
      </c>
      <c r="B13" s="51" t="s">
        <v>342</v>
      </c>
      <c r="C13" s="52" t="s">
        <v>343</v>
      </c>
      <c r="D13" s="53" t="s">
        <v>10</v>
      </c>
      <c r="E13" s="53" t="s">
        <v>11</v>
      </c>
      <c r="F13" s="53" t="s">
        <v>12</v>
      </c>
      <c r="G13" s="53" t="s">
        <v>13</v>
      </c>
      <c r="H13" s="54" t="s">
        <v>14</v>
      </c>
      <c r="I13" s="55" t="s">
        <v>15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5.75" customHeight="1">
      <c r="A14" s="214">
        <v>13</v>
      </c>
      <c r="B14" s="217" t="s">
        <v>33</v>
      </c>
      <c r="C14" s="56" t="s">
        <v>344</v>
      </c>
      <c r="D14" s="53" t="s">
        <v>344</v>
      </c>
      <c r="E14" s="53" t="s">
        <v>344</v>
      </c>
      <c r="F14" s="53" t="s">
        <v>344</v>
      </c>
      <c r="G14" s="53" t="s">
        <v>344</v>
      </c>
      <c r="H14" s="57" t="s">
        <v>344</v>
      </c>
      <c r="I14" s="55" t="s">
        <v>344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>
      <c r="A15" s="215"/>
      <c r="B15" s="218"/>
      <c r="C15" s="58">
        <v>500</v>
      </c>
      <c r="D15" s="48">
        <v>320</v>
      </c>
      <c r="E15" s="48">
        <v>320</v>
      </c>
      <c r="F15" s="48">
        <v>320</v>
      </c>
      <c r="G15" s="48">
        <v>320</v>
      </c>
      <c r="H15" s="59">
        <v>320</v>
      </c>
      <c r="I15" s="60">
        <v>320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>
      <c r="A16" s="216"/>
      <c r="B16" s="219"/>
      <c r="C16" s="50" t="s">
        <v>345</v>
      </c>
      <c r="D16" s="61" t="s">
        <v>345</v>
      </c>
      <c r="E16" s="61" t="s">
        <v>345</v>
      </c>
      <c r="F16" s="61" t="s">
        <v>345</v>
      </c>
      <c r="G16" s="61" t="s">
        <v>345</v>
      </c>
      <c r="H16" s="62" t="s">
        <v>345</v>
      </c>
      <c r="I16" s="63" t="s">
        <v>346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64"/>
      <c r="P17" s="47"/>
      <c r="Q17" s="47"/>
      <c r="R17" s="47"/>
      <c r="S17" s="47"/>
      <c r="T17" s="47"/>
      <c r="U17" s="47"/>
      <c r="V17" s="47"/>
    </row>
    <row r="18" spans="1:22" ht="18.75" customHeight="1">
      <c r="A18" s="211" t="s">
        <v>347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3"/>
      <c r="O18" s="65" t="s">
        <v>348</v>
      </c>
      <c r="P18" s="47"/>
      <c r="Q18" s="47"/>
      <c r="R18" s="47"/>
      <c r="S18" s="47"/>
      <c r="T18" s="47"/>
      <c r="U18" s="47"/>
      <c r="V18" s="47"/>
    </row>
    <row r="19" spans="1:22" ht="48.75" customHeight="1">
      <c r="A19" s="50" t="s">
        <v>341</v>
      </c>
      <c r="B19" s="66" t="s">
        <v>342</v>
      </c>
      <c r="C19" s="55" t="s">
        <v>4</v>
      </c>
      <c r="D19" s="67" t="s">
        <v>5</v>
      </c>
      <c r="E19" s="55" t="s">
        <v>6</v>
      </c>
      <c r="F19" s="67" t="s">
        <v>7</v>
      </c>
      <c r="G19" s="55" t="s">
        <v>8</v>
      </c>
      <c r="H19" s="55" t="s">
        <v>9</v>
      </c>
      <c r="I19" s="68" t="s">
        <v>10</v>
      </c>
      <c r="J19" s="53" t="s">
        <v>11</v>
      </c>
      <c r="K19" s="53" t="s">
        <v>12</v>
      </c>
      <c r="L19" s="53" t="s">
        <v>13</v>
      </c>
      <c r="M19" s="53" t="s">
        <v>14</v>
      </c>
      <c r="N19" s="57" t="s">
        <v>15</v>
      </c>
      <c r="O19" s="69" t="s">
        <v>349</v>
      </c>
      <c r="P19" s="47"/>
      <c r="Q19" s="47"/>
      <c r="R19" s="47"/>
      <c r="S19" s="47"/>
      <c r="T19" s="47"/>
      <c r="U19" s="47"/>
      <c r="V19" s="47"/>
    </row>
    <row r="20" spans="1:22" ht="15.75" customHeight="1">
      <c r="A20" s="214">
        <v>13</v>
      </c>
      <c r="B20" s="217" t="s">
        <v>33</v>
      </c>
      <c r="C20" s="55" t="s">
        <v>344</v>
      </c>
      <c r="D20" s="67" t="s">
        <v>344</v>
      </c>
      <c r="E20" s="55" t="s">
        <v>344</v>
      </c>
      <c r="F20" s="67" t="s">
        <v>344</v>
      </c>
      <c r="G20" s="55" t="s">
        <v>344</v>
      </c>
      <c r="H20" s="55" t="s">
        <v>344</v>
      </c>
      <c r="I20" s="68" t="s">
        <v>344</v>
      </c>
      <c r="J20" s="53" t="s">
        <v>344</v>
      </c>
      <c r="K20" s="53" t="s">
        <v>344</v>
      </c>
      <c r="L20" s="53" t="s">
        <v>344</v>
      </c>
      <c r="M20" s="53" t="s">
        <v>344</v>
      </c>
      <c r="N20" s="53" t="s">
        <v>344</v>
      </c>
      <c r="O20" s="57" t="s">
        <v>344</v>
      </c>
      <c r="P20" s="47"/>
      <c r="Q20" s="47"/>
      <c r="R20" s="47"/>
      <c r="S20" s="47"/>
      <c r="T20" s="47"/>
      <c r="U20" s="47"/>
      <c r="V20" s="47"/>
    </row>
    <row r="21" spans="1:22">
      <c r="A21" s="215"/>
      <c r="B21" s="218"/>
      <c r="C21" s="60">
        <v>320</v>
      </c>
      <c r="D21" s="70">
        <v>320</v>
      </c>
      <c r="E21" s="60">
        <v>320</v>
      </c>
      <c r="F21" s="70">
        <v>320</v>
      </c>
      <c r="G21" s="60">
        <v>320</v>
      </c>
      <c r="H21" s="60">
        <v>320</v>
      </c>
      <c r="I21" s="71">
        <v>320</v>
      </c>
      <c r="J21" s="48">
        <v>320</v>
      </c>
      <c r="K21" s="48">
        <v>320</v>
      </c>
      <c r="L21" s="48">
        <v>320</v>
      </c>
      <c r="M21" s="48">
        <v>320</v>
      </c>
      <c r="N21" s="48">
        <v>320</v>
      </c>
      <c r="O21" s="72">
        <v>200</v>
      </c>
      <c r="P21" s="47"/>
      <c r="Q21" s="47"/>
      <c r="R21" s="47"/>
      <c r="S21" s="47"/>
      <c r="T21" s="47"/>
      <c r="U21" s="47"/>
      <c r="V21" s="47"/>
    </row>
    <row r="22" spans="1:22">
      <c r="A22" s="216"/>
      <c r="B22" s="219"/>
      <c r="C22" s="63" t="s">
        <v>346</v>
      </c>
      <c r="D22" s="73" t="s">
        <v>346</v>
      </c>
      <c r="E22" s="63" t="s">
        <v>346</v>
      </c>
      <c r="F22" s="73" t="s">
        <v>346</v>
      </c>
      <c r="G22" s="63" t="s">
        <v>346</v>
      </c>
      <c r="H22" s="63" t="s">
        <v>346</v>
      </c>
      <c r="I22" s="74" t="s">
        <v>345</v>
      </c>
      <c r="J22" s="61" t="s">
        <v>345</v>
      </c>
      <c r="K22" s="61" t="s">
        <v>345</v>
      </c>
      <c r="L22" s="61" t="s">
        <v>345</v>
      </c>
      <c r="M22" s="61" t="s">
        <v>345</v>
      </c>
      <c r="N22" s="61" t="s">
        <v>345</v>
      </c>
      <c r="O22" s="75" t="s">
        <v>345</v>
      </c>
      <c r="P22" s="47"/>
      <c r="Q22" s="47"/>
      <c r="R22" s="47"/>
      <c r="S22" s="47"/>
      <c r="T22" s="47"/>
      <c r="U22" s="47"/>
      <c r="V22" s="47"/>
    </row>
    <row r="23" spans="1:2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spans="1:22" ht="18.75" customHeight="1">
      <c r="A24" s="211" t="s">
        <v>350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3"/>
      <c r="O24" s="47"/>
      <c r="P24" s="47"/>
      <c r="Q24" s="47"/>
      <c r="R24" s="47"/>
      <c r="S24" s="47"/>
      <c r="T24" s="47"/>
      <c r="U24" s="47"/>
      <c r="V24" s="47"/>
    </row>
    <row r="25" spans="1:22" ht="30.75" customHeight="1">
      <c r="A25" s="50" t="s">
        <v>341</v>
      </c>
      <c r="B25" s="51" t="s">
        <v>342</v>
      </c>
      <c r="C25" s="68" t="s">
        <v>4</v>
      </c>
      <c r="D25" s="53" t="s">
        <v>5</v>
      </c>
      <c r="E25" s="53" t="s">
        <v>6</v>
      </c>
      <c r="F25" s="53" t="s">
        <v>7</v>
      </c>
      <c r="G25" s="53" t="s">
        <v>8</v>
      </c>
      <c r="H25" s="57" t="s">
        <v>9</v>
      </c>
      <c r="I25" s="53" t="s">
        <v>10</v>
      </c>
      <c r="J25" s="53" t="s">
        <v>11</v>
      </c>
      <c r="K25" s="53" t="s">
        <v>12</v>
      </c>
      <c r="L25" s="53" t="s">
        <v>13</v>
      </c>
      <c r="M25" s="53" t="s">
        <v>14</v>
      </c>
      <c r="N25" s="57" t="s">
        <v>15</v>
      </c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214">
        <v>13</v>
      </c>
      <c r="B26" s="217" t="s">
        <v>33</v>
      </c>
      <c r="C26" s="68" t="s">
        <v>344</v>
      </c>
      <c r="D26" s="53" t="s">
        <v>344</v>
      </c>
      <c r="E26" s="53" t="s">
        <v>344</v>
      </c>
      <c r="F26" s="53" t="s">
        <v>344</v>
      </c>
      <c r="G26" s="53" t="s">
        <v>344</v>
      </c>
      <c r="H26" s="53" t="s">
        <v>344</v>
      </c>
      <c r="I26" s="76" t="s">
        <v>351</v>
      </c>
      <c r="J26" s="76" t="s">
        <v>351</v>
      </c>
      <c r="K26" s="76" t="s">
        <v>351</v>
      </c>
      <c r="L26" s="76" t="s">
        <v>351</v>
      </c>
      <c r="M26" s="76" t="s">
        <v>351</v>
      </c>
      <c r="N26" s="77" t="s">
        <v>351</v>
      </c>
      <c r="O26" s="47"/>
      <c r="P26" s="47"/>
      <c r="Q26" s="47"/>
      <c r="R26" s="47"/>
      <c r="S26" s="47"/>
      <c r="T26" s="47"/>
      <c r="U26" s="47"/>
      <c r="V26" s="47"/>
    </row>
    <row r="27" spans="1:22">
      <c r="A27" s="215"/>
      <c r="B27" s="218"/>
      <c r="C27" s="71">
        <v>320</v>
      </c>
      <c r="D27" s="48">
        <v>320</v>
      </c>
      <c r="E27" s="48">
        <v>320</v>
      </c>
      <c r="F27" s="48">
        <v>320</v>
      </c>
      <c r="G27" s="48">
        <v>320</v>
      </c>
      <c r="H27" s="48">
        <v>320</v>
      </c>
      <c r="I27" s="78">
        <v>320</v>
      </c>
      <c r="J27" s="78">
        <v>320</v>
      </c>
      <c r="K27" s="78">
        <v>320</v>
      </c>
      <c r="L27" s="78">
        <v>320</v>
      </c>
      <c r="M27" s="78">
        <v>320</v>
      </c>
      <c r="N27" s="79">
        <v>320</v>
      </c>
      <c r="O27" s="47"/>
      <c r="P27" s="47"/>
      <c r="Q27" s="47"/>
      <c r="R27" s="47"/>
      <c r="S27" s="47"/>
      <c r="T27" s="47"/>
      <c r="U27" s="47"/>
      <c r="V27" s="47"/>
    </row>
    <row r="28" spans="1:22">
      <c r="A28" s="216"/>
      <c r="B28" s="219"/>
      <c r="C28" s="74" t="s">
        <v>345</v>
      </c>
      <c r="D28" s="61" t="s">
        <v>345</v>
      </c>
      <c r="E28" s="61" t="s">
        <v>345</v>
      </c>
      <c r="F28" s="61" t="s">
        <v>345</v>
      </c>
      <c r="G28" s="61" t="s">
        <v>345</v>
      </c>
      <c r="H28" s="61" t="s">
        <v>345</v>
      </c>
      <c r="I28" s="80" t="s">
        <v>345</v>
      </c>
      <c r="J28" s="80" t="s">
        <v>345</v>
      </c>
      <c r="K28" s="80" t="s">
        <v>345</v>
      </c>
      <c r="L28" s="80" t="s">
        <v>345</v>
      </c>
      <c r="M28" s="80" t="s">
        <v>345</v>
      </c>
      <c r="N28" s="81" t="s">
        <v>345</v>
      </c>
      <c r="O28" s="47"/>
      <c r="P28" s="47"/>
      <c r="Q28" s="47"/>
      <c r="R28" s="47"/>
      <c r="S28" s="47"/>
      <c r="T28" s="47"/>
      <c r="U28" s="47"/>
      <c r="V28" s="47"/>
    </row>
    <row r="29" spans="1:2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0" spans="1:22" ht="18.75" customHeight="1">
      <c r="A30" s="211" t="s">
        <v>352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3"/>
      <c r="O30" s="47"/>
      <c r="P30" s="47"/>
      <c r="Q30" s="47"/>
      <c r="R30" s="47"/>
      <c r="S30" s="47"/>
      <c r="T30" s="47"/>
      <c r="U30" s="47"/>
      <c r="V30" s="47"/>
    </row>
    <row r="31" spans="1:22" ht="30.75" customHeight="1">
      <c r="A31" s="50" t="s">
        <v>341</v>
      </c>
      <c r="B31" s="51" t="s">
        <v>342</v>
      </c>
      <c r="C31" s="68" t="s">
        <v>4</v>
      </c>
      <c r="D31" s="53" t="s">
        <v>5</v>
      </c>
      <c r="E31" s="53" t="s">
        <v>6</v>
      </c>
      <c r="F31" s="53" t="s">
        <v>7</v>
      </c>
      <c r="G31" s="53" t="s">
        <v>8</v>
      </c>
      <c r="H31" s="57" t="s">
        <v>9</v>
      </c>
      <c r="I31" s="53" t="s">
        <v>10</v>
      </c>
      <c r="J31" s="53" t="s">
        <v>11</v>
      </c>
      <c r="K31" s="53" t="s">
        <v>12</v>
      </c>
      <c r="L31" s="53" t="s">
        <v>13</v>
      </c>
      <c r="M31" s="53" t="s">
        <v>14</v>
      </c>
      <c r="N31" s="57" t="s">
        <v>15</v>
      </c>
      <c r="O31" s="47"/>
      <c r="P31" s="47"/>
      <c r="Q31" s="47"/>
      <c r="R31" s="47"/>
      <c r="S31" s="47"/>
      <c r="T31" s="47"/>
      <c r="U31" s="47"/>
      <c r="V31" s="47"/>
    </row>
    <row r="32" spans="1:22" ht="15.75" customHeight="1">
      <c r="A32" s="214">
        <v>13</v>
      </c>
      <c r="B32" s="217" t="s">
        <v>33</v>
      </c>
      <c r="C32" s="82" t="s">
        <v>351</v>
      </c>
      <c r="D32" s="76" t="s">
        <v>351</v>
      </c>
      <c r="E32" s="76" t="s">
        <v>351</v>
      </c>
      <c r="F32" s="76" t="s">
        <v>351</v>
      </c>
      <c r="G32" s="76" t="s">
        <v>351</v>
      </c>
      <c r="H32" s="76" t="s">
        <v>351</v>
      </c>
      <c r="I32" s="76" t="s">
        <v>351</v>
      </c>
      <c r="J32" s="76" t="s">
        <v>351</v>
      </c>
      <c r="K32" s="76" t="s">
        <v>351</v>
      </c>
      <c r="L32" s="76" t="s">
        <v>351</v>
      </c>
      <c r="M32" s="55" t="s">
        <v>344</v>
      </c>
      <c r="N32" s="55" t="s">
        <v>344</v>
      </c>
      <c r="O32" s="47"/>
      <c r="P32" s="47"/>
      <c r="Q32" s="47"/>
      <c r="R32" s="47"/>
      <c r="S32" s="47"/>
      <c r="T32" s="47"/>
      <c r="U32" s="47"/>
      <c r="V32" s="47"/>
    </row>
    <row r="33" spans="1:22">
      <c r="A33" s="215"/>
      <c r="B33" s="218"/>
      <c r="C33" s="83">
        <v>320</v>
      </c>
      <c r="D33" s="78">
        <v>320</v>
      </c>
      <c r="E33" s="78">
        <v>320</v>
      </c>
      <c r="F33" s="78">
        <v>320</v>
      </c>
      <c r="G33" s="78">
        <v>320</v>
      </c>
      <c r="H33" s="78">
        <v>320</v>
      </c>
      <c r="I33" s="78">
        <v>320</v>
      </c>
      <c r="J33" s="78">
        <v>320</v>
      </c>
      <c r="K33" s="78">
        <v>320</v>
      </c>
      <c r="L33" s="78">
        <v>320</v>
      </c>
      <c r="M33" s="60">
        <v>320</v>
      </c>
      <c r="N33" s="60">
        <v>320</v>
      </c>
      <c r="O33" s="47"/>
      <c r="P33" s="47"/>
      <c r="Q33" s="47"/>
      <c r="R33" s="47"/>
      <c r="S33" s="47"/>
      <c r="T33" s="47"/>
      <c r="U33" s="47"/>
      <c r="V33" s="47"/>
    </row>
    <row r="34" spans="1:22">
      <c r="A34" s="216"/>
      <c r="B34" s="219"/>
      <c r="C34" s="84" t="s">
        <v>345</v>
      </c>
      <c r="D34" s="80" t="s">
        <v>345</v>
      </c>
      <c r="E34" s="80" t="s">
        <v>345</v>
      </c>
      <c r="F34" s="80" t="s">
        <v>345</v>
      </c>
      <c r="G34" s="80" t="s">
        <v>345</v>
      </c>
      <c r="H34" s="80" t="s">
        <v>345</v>
      </c>
      <c r="I34" s="80" t="s">
        <v>345</v>
      </c>
      <c r="J34" s="80" t="s">
        <v>345</v>
      </c>
      <c r="K34" s="80" t="s">
        <v>345</v>
      </c>
      <c r="L34" s="80" t="s">
        <v>345</v>
      </c>
      <c r="M34" s="63" t="s">
        <v>346</v>
      </c>
      <c r="N34" s="63" t="s">
        <v>346</v>
      </c>
      <c r="O34" s="47"/>
      <c r="P34" s="47"/>
      <c r="Q34" s="47"/>
      <c r="R34" s="47"/>
      <c r="S34" s="47"/>
      <c r="T34" s="47"/>
      <c r="U34" s="47"/>
      <c r="V34" s="47"/>
    </row>
    <row r="35" spans="1:2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6" spans="1:22" ht="18.75" customHeight="1">
      <c r="A36" s="211" t="s">
        <v>353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3"/>
      <c r="O36" s="47"/>
      <c r="P36" s="47"/>
      <c r="Q36" s="47"/>
      <c r="R36" s="47"/>
      <c r="S36" s="47"/>
      <c r="T36" s="47"/>
      <c r="U36" s="47"/>
      <c r="V36" s="47"/>
    </row>
    <row r="37" spans="1:22" ht="48.75" customHeight="1">
      <c r="A37" s="50" t="s">
        <v>341</v>
      </c>
      <c r="B37" s="51" t="s">
        <v>342</v>
      </c>
      <c r="C37" s="68" t="s">
        <v>4</v>
      </c>
      <c r="D37" s="53" t="s">
        <v>5</v>
      </c>
      <c r="E37" s="53" t="s">
        <v>6</v>
      </c>
      <c r="F37" s="53" t="s">
        <v>7</v>
      </c>
      <c r="G37" s="53" t="s">
        <v>8</v>
      </c>
      <c r="H37" s="57" t="s">
        <v>9</v>
      </c>
      <c r="I37" s="53" t="s">
        <v>10</v>
      </c>
      <c r="J37" s="53" t="s">
        <v>11</v>
      </c>
      <c r="K37" s="53" t="s">
        <v>12</v>
      </c>
      <c r="L37" s="53" t="s">
        <v>13</v>
      </c>
      <c r="M37" s="53" t="s">
        <v>14</v>
      </c>
      <c r="N37" s="57" t="s">
        <v>15</v>
      </c>
      <c r="O37" s="69" t="s">
        <v>354</v>
      </c>
      <c r="P37" s="47"/>
      <c r="Q37" s="47"/>
      <c r="R37" s="47"/>
      <c r="S37" s="47"/>
      <c r="T37" s="47"/>
      <c r="U37" s="47"/>
      <c r="V37" s="47"/>
    </row>
    <row r="38" spans="1:22" ht="15.75" customHeight="1">
      <c r="A38" s="214">
        <v>13</v>
      </c>
      <c r="B38" s="217" t="s">
        <v>33</v>
      </c>
      <c r="C38" s="55" t="s">
        <v>344</v>
      </c>
      <c r="D38" s="55" t="s">
        <v>344</v>
      </c>
      <c r="E38" s="55" t="s">
        <v>344</v>
      </c>
      <c r="F38" s="55" t="s">
        <v>344</v>
      </c>
      <c r="G38" s="55" t="s">
        <v>344</v>
      </c>
      <c r="H38" s="55" t="s">
        <v>344</v>
      </c>
      <c r="I38" s="55" t="s">
        <v>344</v>
      </c>
      <c r="J38" s="55" t="s">
        <v>344</v>
      </c>
      <c r="K38" s="55" t="s">
        <v>344</v>
      </c>
      <c r="L38" s="55" t="s">
        <v>344</v>
      </c>
      <c r="M38" s="55" t="s">
        <v>344</v>
      </c>
      <c r="N38" s="55" t="s">
        <v>344</v>
      </c>
      <c r="O38" s="55" t="s">
        <v>344</v>
      </c>
      <c r="P38" s="47"/>
      <c r="Q38" s="47"/>
      <c r="R38" s="47"/>
      <c r="S38" s="47"/>
      <c r="T38" s="47"/>
      <c r="U38" s="47"/>
      <c r="V38" s="47"/>
    </row>
    <row r="39" spans="1:22">
      <c r="A39" s="215"/>
      <c r="B39" s="218"/>
      <c r="C39" s="60">
        <v>320</v>
      </c>
      <c r="D39" s="60">
        <v>320</v>
      </c>
      <c r="E39" s="60">
        <v>320</v>
      </c>
      <c r="F39" s="60">
        <v>320</v>
      </c>
      <c r="G39" s="60">
        <v>320</v>
      </c>
      <c r="H39" s="60">
        <v>320</v>
      </c>
      <c r="I39" s="60">
        <v>320</v>
      </c>
      <c r="J39" s="60">
        <v>320</v>
      </c>
      <c r="K39" s="60">
        <v>320</v>
      </c>
      <c r="L39" s="60">
        <v>320</v>
      </c>
      <c r="M39" s="60">
        <v>320</v>
      </c>
      <c r="N39" s="60">
        <v>320</v>
      </c>
      <c r="O39" s="60">
        <v>320</v>
      </c>
      <c r="P39" s="47"/>
      <c r="Q39" s="47"/>
      <c r="R39" s="47"/>
      <c r="S39" s="47"/>
      <c r="T39" s="47"/>
      <c r="U39" s="47"/>
      <c r="V39" s="47"/>
    </row>
    <row r="40" spans="1:22">
      <c r="A40" s="216"/>
      <c r="B40" s="219"/>
      <c r="C40" s="63" t="s">
        <v>346</v>
      </c>
      <c r="D40" s="63" t="s">
        <v>346</v>
      </c>
      <c r="E40" s="63" t="s">
        <v>346</v>
      </c>
      <c r="F40" s="63" t="s">
        <v>346</v>
      </c>
      <c r="G40" s="63" t="s">
        <v>346</v>
      </c>
      <c r="H40" s="63" t="s">
        <v>346</v>
      </c>
      <c r="I40" s="63" t="s">
        <v>346</v>
      </c>
      <c r="J40" s="63" t="s">
        <v>346</v>
      </c>
      <c r="K40" s="63" t="s">
        <v>346</v>
      </c>
      <c r="L40" s="63" t="s">
        <v>346</v>
      </c>
      <c r="M40" s="63" t="s">
        <v>346</v>
      </c>
      <c r="N40" s="63" t="s">
        <v>346</v>
      </c>
      <c r="O40" s="63" t="s">
        <v>346</v>
      </c>
      <c r="P40" s="47"/>
      <c r="Q40" s="47"/>
      <c r="R40" s="47"/>
      <c r="S40" s="47"/>
      <c r="T40" s="47"/>
      <c r="U40" s="47"/>
      <c r="V40" s="47"/>
    </row>
    <row r="41" spans="1:2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</row>
    <row r="42" spans="1:22">
      <c r="A42" s="47"/>
      <c r="B42" s="47"/>
      <c r="C42" s="220" t="s">
        <v>355</v>
      </c>
      <c r="D42" s="212"/>
      <c r="E42" s="212"/>
      <c r="F42" s="212"/>
      <c r="G42" s="212"/>
      <c r="H42" s="213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30.75" customHeight="1">
      <c r="A43" s="47"/>
      <c r="B43" s="47"/>
      <c r="C43" s="85" t="s">
        <v>348</v>
      </c>
      <c r="D43" s="86" t="s">
        <v>356</v>
      </c>
      <c r="E43" s="86" t="s">
        <v>357</v>
      </c>
      <c r="F43" s="86" t="s">
        <v>358</v>
      </c>
      <c r="G43" s="87" t="s">
        <v>359</v>
      </c>
      <c r="H43" s="87" t="s">
        <v>360</v>
      </c>
      <c r="I43" s="88" t="s">
        <v>96</v>
      </c>
      <c r="J43" s="89" t="s">
        <v>361</v>
      </c>
      <c r="K43" s="89" t="s">
        <v>362</v>
      </c>
      <c r="L43" s="89" t="s">
        <v>363</v>
      </c>
      <c r="M43" s="89" t="s">
        <v>364</v>
      </c>
      <c r="N43" s="89" t="s">
        <v>365</v>
      </c>
      <c r="O43" s="89" t="s">
        <v>366</v>
      </c>
      <c r="P43" s="89" t="s">
        <v>367</v>
      </c>
      <c r="Q43" s="89" t="s">
        <v>368</v>
      </c>
      <c r="R43" s="90" t="s">
        <v>369</v>
      </c>
      <c r="S43" s="90" t="s">
        <v>370</v>
      </c>
      <c r="T43" s="89" t="s">
        <v>371</v>
      </c>
      <c r="U43" s="89" t="s">
        <v>372</v>
      </c>
      <c r="V43" s="47"/>
    </row>
    <row r="44" spans="1:22">
      <c r="A44" s="47"/>
      <c r="B44" s="47"/>
      <c r="C44" s="91" t="s">
        <v>344</v>
      </c>
      <c r="D44" s="93">
        <v>2100</v>
      </c>
      <c r="E44" s="93">
        <v>2120</v>
      </c>
      <c r="F44" s="94">
        <v>1920</v>
      </c>
      <c r="G44" s="92">
        <v>0</v>
      </c>
      <c r="H44" s="95">
        <v>500</v>
      </c>
      <c r="I44" s="96">
        <f>SUM(D44:H44)</f>
        <v>6640</v>
      </c>
      <c r="J44" s="48" t="s">
        <v>348</v>
      </c>
      <c r="K44" s="97">
        <v>500</v>
      </c>
      <c r="L44" s="48" t="s">
        <v>348</v>
      </c>
      <c r="M44" s="48" t="s">
        <v>348</v>
      </c>
      <c r="N44" s="48" t="s">
        <v>348</v>
      </c>
      <c r="O44" s="48" t="s">
        <v>348</v>
      </c>
      <c r="P44" s="48" t="s">
        <v>348</v>
      </c>
      <c r="Q44" s="48" t="s">
        <v>348</v>
      </c>
      <c r="R44" s="97">
        <v>670</v>
      </c>
      <c r="S44" s="97">
        <v>1340</v>
      </c>
      <c r="T44" s="97">
        <v>670</v>
      </c>
      <c r="U44" s="48" t="s">
        <v>348</v>
      </c>
      <c r="V44" s="47"/>
    </row>
    <row r="45" spans="1:22">
      <c r="A45" s="47"/>
      <c r="B45" s="47"/>
      <c r="C45" s="98" t="s">
        <v>351</v>
      </c>
      <c r="D45" s="99" t="s">
        <v>348</v>
      </c>
      <c r="E45" s="99" t="s">
        <v>348</v>
      </c>
      <c r="F45" s="100">
        <v>1920</v>
      </c>
      <c r="G45" s="102">
        <v>3200</v>
      </c>
      <c r="H45" s="101" t="s">
        <v>348</v>
      </c>
      <c r="I45" s="96">
        <f>SUM(D45:H45)</f>
        <v>5120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</row>
    <row r="46" spans="1:22">
      <c r="A46" s="47"/>
      <c r="B46" s="47"/>
      <c r="C46" s="91" t="s">
        <v>96</v>
      </c>
      <c r="D46" s="103">
        <v>2100</v>
      </c>
      <c r="E46" s="103">
        <v>2120</v>
      </c>
      <c r="F46" s="103">
        <v>3840</v>
      </c>
      <c r="G46" s="105">
        <v>3200</v>
      </c>
      <c r="H46" s="104">
        <v>500</v>
      </c>
      <c r="I46" s="96">
        <f>SUM(D46:H46)</f>
        <v>11760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</row>
    <row r="47" spans="1:22">
      <c r="A47" s="47"/>
      <c r="B47" s="47"/>
      <c r="C47" s="106" t="s">
        <v>346</v>
      </c>
      <c r="D47" s="107" t="s">
        <v>348</v>
      </c>
      <c r="E47" s="108" t="s">
        <v>348</v>
      </c>
      <c r="F47" s="109" t="s">
        <v>348</v>
      </c>
      <c r="G47" s="108" t="s">
        <v>348</v>
      </c>
      <c r="H47" s="110">
        <v>2510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1:2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1:22" ht="30.75" customHeight="1">
      <c r="A49" s="47"/>
      <c r="B49" s="111" t="s">
        <v>348</v>
      </c>
      <c r="C49" s="112" t="s">
        <v>346</v>
      </c>
      <c r="D49" s="47"/>
      <c r="E49" s="47"/>
      <c r="F49" s="47"/>
      <c r="G49" s="47"/>
      <c r="H49" s="47"/>
      <c r="I49" s="47"/>
      <c r="J49" s="89" t="s">
        <v>109</v>
      </c>
      <c r="K49" s="89" t="s">
        <v>110</v>
      </c>
      <c r="L49" s="89" t="s">
        <v>111</v>
      </c>
      <c r="M49" s="89" t="s">
        <v>112</v>
      </c>
      <c r="N49" s="89" t="s">
        <v>113</v>
      </c>
      <c r="O49" s="89" t="s">
        <v>114</v>
      </c>
      <c r="P49" s="89" t="s">
        <v>115</v>
      </c>
      <c r="Q49" s="89" t="s">
        <v>116</v>
      </c>
      <c r="R49" s="90" t="s">
        <v>117</v>
      </c>
      <c r="S49" s="90" t="s">
        <v>118</v>
      </c>
      <c r="T49" s="89" t="s">
        <v>371</v>
      </c>
      <c r="U49" s="89" t="s">
        <v>120</v>
      </c>
      <c r="V49" s="47"/>
    </row>
    <row r="50" spans="1:22">
      <c r="C50" s="169"/>
      <c r="D50" s="169"/>
      <c r="E50" s="169"/>
      <c r="G50" s="169"/>
      <c r="H50" s="169"/>
      <c r="J50" s="48" t="s">
        <v>348</v>
      </c>
      <c r="K50" s="48" t="s">
        <v>348</v>
      </c>
      <c r="L50" s="48" t="s">
        <v>348</v>
      </c>
      <c r="M50" s="48" t="s">
        <v>348</v>
      </c>
      <c r="N50" s="48" t="s">
        <v>348</v>
      </c>
      <c r="O50" s="48" t="s">
        <v>348</v>
      </c>
      <c r="P50" s="97">
        <v>833</v>
      </c>
      <c r="Q50" s="48" t="s">
        <v>348</v>
      </c>
      <c r="R50" s="126">
        <v>833</v>
      </c>
      <c r="S50" s="48" t="s">
        <v>348</v>
      </c>
      <c r="T50" s="48" t="s">
        <v>348</v>
      </c>
      <c r="U50" s="48" t="s">
        <v>348</v>
      </c>
      <c r="V50" s="169"/>
    </row>
    <row r="53" spans="1:22">
      <c r="C53" s="169"/>
      <c r="D53" s="169"/>
      <c r="E53" s="169" t="s">
        <v>373</v>
      </c>
      <c r="F53" s="169" t="s">
        <v>374</v>
      </c>
      <c r="G53" s="169" t="s">
        <v>375</v>
      </c>
      <c r="H53" s="169" t="s">
        <v>96</v>
      </c>
      <c r="I53" s="169" t="s">
        <v>376</v>
      </c>
      <c r="J53" s="169" t="s">
        <v>377</v>
      </c>
      <c r="K53" s="169"/>
      <c r="L53" s="169"/>
      <c r="M53" s="169"/>
      <c r="N53" s="169"/>
      <c r="O53" s="169"/>
      <c r="P53" s="169"/>
      <c r="Q53" s="169"/>
      <c r="T53" s="169"/>
      <c r="U53" s="169"/>
      <c r="V53" s="169"/>
    </row>
    <row r="54" spans="1:22">
      <c r="C54" s="169"/>
      <c r="D54" s="169"/>
      <c r="E54" s="169">
        <v>1</v>
      </c>
      <c r="F54" s="169">
        <v>670</v>
      </c>
      <c r="G54" s="169">
        <v>6</v>
      </c>
      <c r="H54" s="169">
        <v>12</v>
      </c>
      <c r="I54" s="169">
        <f>G54*F54</f>
        <v>4020</v>
      </c>
      <c r="J54" s="169">
        <f>H54*F54</f>
        <v>8040</v>
      </c>
      <c r="K54" s="114">
        <f>I54/J54</f>
        <v>0.5</v>
      </c>
      <c r="L54" s="169"/>
      <c r="M54" s="169"/>
      <c r="N54" s="169"/>
      <c r="O54" s="169"/>
      <c r="P54" s="169"/>
      <c r="Q54" s="169"/>
      <c r="T54" s="169"/>
      <c r="U54" s="169"/>
      <c r="V54" s="169"/>
    </row>
    <row r="55" spans="1:22">
      <c r="C55" s="169"/>
      <c r="D55" s="169"/>
      <c r="E55" s="169">
        <v>2</v>
      </c>
      <c r="F55" s="169">
        <v>213</v>
      </c>
      <c r="G55" s="169">
        <v>2</v>
      </c>
      <c r="H55" s="169">
        <v>24</v>
      </c>
      <c r="I55" s="169">
        <f>G55*F55</f>
        <v>426</v>
      </c>
      <c r="J55" s="169">
        <f>H55*F55</f>
        <v>5112</v>
      </c>
      <c r="K55" s="114">
        <f>I55/J55</f>
        <v>8.3333333333333329E-2</v>
      </c>
      <c r="L55" s="169"/>
      <c r="M55" s="169"/>
      <c r="N55" s="169"/>
      <c r="O55" s="169"/>
      <c r="P55" s="169"/>
      <c r="Q55" s="169"/>
      <c r="T55" s="169"/>
      <c r="U55" s="169"/>
      <c r="V55" s="169"/>
    </row>
    <row r="56" spans="1:22">
      <c r="C56" s="169"/>
      <c r="D56" s="169"/>
      <c r="E56" s="169" t="s">
        <v>96</v>
      </c>
      <c r="G56" s="169"/>
      <c r="H56" s="169"/>
      <c r="I56" s="169">
        <f>SUM(I54:I55)</f>
        <v>4446</v>
      </c>
      <c r="J56" s="169">
        <f>SUM(J54:J55)</f>
        <v>13152</v>
      </c>
      <c r="K56" s="169"/>
      <c r="L56" s="169"/>
      <c r="M56" s="169"/>
      <c r="N56" s="169"/>
      <c r="O56" s="169"/>
      <c r="P56" s="169"/>
      <c r="Q56" s="169"/>
      <c r="T56" s="169"/>
      <c r="U56" s="169"/>
      <c r="V56" s="169"/>
    </row>
    <row r="58" spans="1:22">
      <c r="C58" s="169"/>
      <c r="D58" s="169"/>
      <c r="E58" s="169"/>
      <c r="G58" s="169"/>
      <c r="H58" s="169"/>
      <c r="I58" s="151" t="s">
        <v>378</v>
      </c>
      <c r="J58" s="151">
        <f>J56-I56</f>
        <v>8706</v>
      </c>
      <c r="K58" s="169"/>
      <c r="L58" s="169"/>
      <c r="M58" s="169"/>
      <c r="N58" s="169"/>
      <c r="O58" s="169"/>
      <c r="P58" s="169"/>
      <c r="Q58" s="169"/>
      <c r="T58" s="169"/>
      <c r="U58" s="169"/>
      <c r="V58" s="169"/>
    </row>
    <row r="66" spans="1:9">
      <c r="A66" s="209" t="s">
        <v>379</v>
      </c>
      <c r="B66" s="197"/>
      <c r="C66" s="197"/>
      <c r="D66" s="197"/>
      <c r="E66" s="197"/>
      <c r="F66" s="197"/>
      <c r="G66" s="197"/>
      <c r="H66" s="197"/>
      <c r="I66" s="197"/>
    </row>
    <row r="67" spans="1:9">
      <c r="A67" s="210" t="s">
        <v>348</v>
      </c>
      <c r="B67" s="197"/>
      <c r="C67" s="197"/>
      <c r="D67" s="197"/>
      <c r="E67" s="197"/>
      <c r="F67" s="197"/>
      <c r="G67" s="197"/>
      <c r="H67" s="197"/>
      <c r="I67" s="197"/>
    </row>
    <row r="68" spans="1:9">
      <c r="A68" s="209" t="s">
        <v>149</v>
      </c>
      <c r="B68" s="197"/>
      <c r="C68" s="209" t="s">
        <v>150</v>
      </c>
      <c r="D68" s="197"/>
      <c r="E68" s="209" t="s">
        <v>151</v>
      </c>
      <c r="F68" s="197"/>
      <c r="G68" s="191" t="s">
        <v>348</v>
      </c>
      <c r="H68" s="191" t="s">
        <v>348</v>
      </c>
      <c r="I68" s="191" t="s">
        <v>348</v>
      </c>
    </row>
    <row r="69" spans="1:9">
      <c r="A69" s="210" t="s">
        <v>348</v>
      </c>
      <c r="B69" s="197"/>
      <c r="C69" s="210" t="s">
        <v>348</v>
      </c>
      <c r="D69" s="197"/>
      <c r="E69" s="210" t="s">
        <v>348</v>
      </c>
      <c r="F69" s="197"/>
      <c r="G69" s="191" t="s">
        <v>348</v>
      </c>
      <c r="H69" s="191" t="s">
        <v>348</v>
      </c>
      <c r="I69" s="191" t="s">
        <v>348</v>
      </c>
    </row>
    <row r="70" spans="1:9">
      <c r="A70" s="210" t="s">
        <v>380</v>
      </c>
      <c r="B70" s="197"/>
      <c r="C70" s="210" t="s">
        <v>153</v>
      </c>
      <c r="D70" s="197"/>
      <c r="E70" s="210" t="s">
        <v>381</v>
      </c>
      <c r="F70" s="197"/>
      <c r="G70" s="191" t="s">
        <v>348</v>
      </c>
      <c r="H70" s="191" t="s">
        <v>348</v>
      </c>
      <c r="I70" s="191" t="s">
        <v>348</v>
      </c>
    </row>
    <row r="71" spans="1:9">
      <c r="A71" s="210" t="s">
        <v>250</v>
      </c>
      <c r="B71" s="197"/>
      <c r="C71" s="210" t="s">
        <v>348</v>
      </c>
      <c r="D71" s="197"/>
      <c r="E71" s="210" t="s">
        <v>348</v>
      </c>
      <c r="F71" s="197"/>
      <c r="G71" s="191" t="s">
        <v>348</v>
      </c>
      <c r="H71" s="191" t="s">
        <v>348</v>
      </c>
      <c r="I71" s="191" t="s">
        <v>348</v>
      </c>
    </row>
    <row r="72" spans="1:9">
      <c r="A72" s="210" t="s">
        <v>348</v>
      </c>
      <c r="B72" s="197"/>
      <c r="C72" s="197"/>
      <c r="D72" s="197"/>
      <c r="E72" s="197"/>
      <c r="F72" s="197"/>
      <c r="G72" s="197"/>
      <c r="H72" s="197"/>
      <c r="I72" s="197"/>
    </row>
    <row r="73" spans="1:9">
      <c r="A73" s="210" t="s">
        <v>348</v>
      </c>
      <c r="B73" s="197"/>
      <c r="C73" s="197"/>
      <c r="D73" s="197"/>
      <c r="E73" s="197"/>
      <c r="F73" s="197"/>
      <c r="G73" s="197"/>
      <c r="H73" s="197"/>
      <c r="I73" s="197"/>
    </row>
    <row r="74" spans="1:9">
      <c r="A74" s="210" t="s">
        <v>348</v>
      </c>
      <c r="B74" s="197"/>
      <c r="C74" s="197"/>
      <c r="D74" s="197"/>
      <c r="E74" s="197"/>
      <c r="F74" s="197"/>
      <c r="G74" s="197"/>
      <c r="H74" s="197"/>
      <c r="I74" s="197"/>
    </row>
    <row r="75" spans="1:9">
      <c r="A75" s="209" t="s">
        <v>155</v>
      </c>
      <c r="B75" s="197"/>
      <c r="C75" s="197"/>
      <c r="D75" s="197"/>
      <c r="E75" s="197"/>
      <c r="F75" s="197"/>
      <c r="G75" s="197"/>
      <c r="H75" s="197"/>
      <c r="I75" s="197"/>
    </row>
    <row r="76" spans="1:9">
      <c r="A76" s="190" t="s">
        <v>156</v>
      </c>
      <c r="B76" s="190" t="s">
        <v>157</v>
      </c>
      <c r="C76" s="190" t="s">
        <v>158</v>
      </c>
      <c r="D76" s="190" t="s">
        <v>159</v>
      </c>
      <c r="E76" s="190" t="s">
        <v>160</v>
      </c>
      <c r="F76" s="190" t="s">
        <v>161</v>
      </c>
      <c r="G76" s="190" t="s">
        <v>163</v>
      </c>
      <c r="H76" s="190" t="s">
        <v>290</v>
      </c>
      <c r="I76" s="191" t="s">
        <v>348</v>
      </c>
    </row>
    <row r="77" spans="1:9">
      <c r="A77" s="191" t="s">
        <v>382</v>
      </c>
      <c r="B77" s="191" t="s">
        <v>382</v>
      </c>
      <c r="C77" s="190" t="s">
        <v>209</v>
      </c>
      <c r="D77" s="191">
        <v>99020</v>
      </c>
      <c r="E77" s="191">
        <v>0</v>
      </c>
      <c r="F77" s="191">
        <v>500</v>
      </c>
      <c r="G77" s="190" t="s">
        <v>383</v>
      </c>
      <c r="H77" s="191" t="s">
        <v>348</v>
      </c>
      <c r="I77" s="191" t="s">
        <v>348</v>
      </c>
    </row>
    <row r="78" spans="1:9">
      <c r="A78" s="150">
        <v>45421</v>
      </c>
      <c r="B78" s="150">
        <v>45421</v>
      </c>
      <c r="C78" s="190" t="s">
        <v>209</v>
      </c>
      <c r="D78" s="191">
        <v>99020</v>
      </c>
      <c r="E78" s="191">
        <v>0</v>
      </c>
      <c r="F78" s="191">
        <v>670</v>
      </c>
      <c r="G78" s="190" t="s">
        <v>384</v>
      </c>
      <c r="H78" s="191" t="s">
        <v>348</v>
      </c>
      <c r="I78" s="191" t="s">
        <v>348</v>
      </c>
    </row>
    <row r="79" spans="1:9">
      <c r="A79" s="191" t="s">
        <v>385</v>
      </c>
      <c r="B79" s="191" t="s">
        <v>385</v>
      </c>
      <c r="C79" s="190" t="s">
        <v>209</v>
      </c>
      <c r="D79" s="191">
        <v>99020</v>
      </c>
      <c r="E79" s="191">
        <v>0</v>
      </c>
      <c r="F79" s="191">
        <v>670</v>
      </c>
      <c r="G79" s="190" t="s">
        <v>226</v>
      </c>
      <c r="H79" s="191" t="s">
        <v>348</v>
      </c>
      <c r="I79" s="191" t="s">
        <v>348</v>
      </c>
    </row>
    <row r="80" spans="1:9">
      <c r="A80" s="191" t="s">
        <v>385</v>
      </c>
      <c r="B80" s="191" t="s">
        <v>385</v>
      </c>
      <c r="C80" s="190" t="s">
        <v>209</v>
      </c>
      <c r="D80" s="191">
        <v>99020</v>
      </c>
      <c r="E80" s="191">
        <v>0</v>
      </c>
      <c r="F80" s="191">
        <v>670</v>
      </c>
      <c r="G80" s="190" t="s">
        <v>226</v>
      </c>
      <c r="H80" s="191" t="s">
        <v>348</v>
      </c>
      <c r="I80" s="191" t="s">
        <v>348</v>
      </c>
    </row>
    <row r="81" spans="1:9">
      <c r="A81" s="191" t="s">
        <v>386</v>
      </c>
      <c r="B81" s="191" t="s">
        <v>386</v>
      </c>
      <c r="C81" s="190" t="s">
        <v>209</v>
      </c>
      <c r="D81" s="191">
        <v>99020</v>
      </c>
      <c r="E81" s="191">
        <v>0</v>
      </c>
      <c r="F81" s="191">
        <v>670</v>
      </c>
      <c r="G81" s="190" t="s">
        <v>387</v>
      </c>
      <c r="H81" s="191" t="s">
        <v>348</v>
      </c>
      <c r="I81" s="191" t="s">
        <v>348</v>
      </c>
    </row>
    <row r="82" spans="1:9">
      <c r="A82" s="191" t="s">
        <v>388</v>
      </c>
      <c r="B82" s="191" t="s">
        <v>388</v>
      </c>
      <c r="C82" s="190" t="s">
        <v>209</v>
      </c>
      <c r="D82" s="191">
        <v>99020</v>
      </c>
      <c r="E82" s="191">
        <v>0</v>
      </c>
      <c r="F82" s="191">
        <v>820</v>
      </c>
      <c r="G82" s="190" t="s">
        <v>226</v>
      </c>
      <c r="H82" s="191" t="s">
        <v>348</v>
      </c>
      <c r="I82" s="191" t="s">
        <v>348</v>
      </c>
    </row>
    <row r="83" spans="1:9">
      <c r="A83" s="191" t="s">
        <v>389</v>
      </c>
      <c r="B83" s="191" t="s">
        <v>389</v>
      </c>
      <c r="C83" s="190" t="s">
        <v>209</v>
      </c>
      <c r="D83" s="191">
        <v>99020</v>
      </c>
      <c r="E83" s="191">
        <v>0</v>
      </c>
      <c r="F83" s="191">
        <v>883</v>
      </c>
      <c r="G83" s="190" t="s">
        <v>226</v>
      </c>
      <c r="H83" s="191" t="s">
        <v>348</v>
      </c>
      <c r="I83" s="191" t="s">
        <v>348</v>
      </c>
    </row>
    <row r="84" spans="1:9">
      <c r="A84" s="191" t="s">
        <v>390</v>
      </c>
      <c r="B84" s="191" t="s">
        <v>390</v>
      </c>
      <c r="C84" s="190" t="s">
        <v>209</v>
      </c>
      <c r="D84" s="191">
        <v>99020</v>
      </c>
      <c r="E84" s="191">
        <v>0</v>
      </c>
      <c r="F84" s="191">
        <v>883</v>
      </c>
      <c r="G84" s="190" t="s">
        <v>226</v>
      </c>
      <c r="H84" s="191" t="s">
        <v>348</v>
      </c>
      <c r="I84" s="191" t="s">
        <v>348</v>
      </c>
    </row>
    <row r="87" spans="1:9">
      <c r="A87" s="209" t="s">
        <v>146</v>
      </c>
      <c r="B87" s="197"/>
      <c r="C87" s="197"/>
      <c r="D87" s="197"/>
      <c r="E87" s="197"/>
      <c r="F87" s="197"/>
      <c r="G87" s="197"/>
      <c r="H87" s="197"/>
      <c r="I87" s="197"/>
    </row>
    <row r="88" spans="1:9">
      <c r="A88" s="209" t="s">
        <v>147</v>
      </c>
      <c r="B88" s="197"/>
      <c r="C88" s="197"/>
      <c r="D88" s="197"/>
      <c r="E88" s="197"/>
      <c r="F88" s="197"/>
      <c r="G88" s="197"/>
      <c r="H88" s="197"/>
      <c r="I88" s="197"/>
    </row>
    <row r="89" spans="1:9">
      <c r="A89" s="209" t="s">
        <v>379</v>
      </c>
      <c r="B89" s="197"/>
      <c r="C89" s="197"/>
      <c r="D89" s="197"/>
      <c r="E89" s="197"/>
      <c r="F89" s="197"/>
      <c r="G89" s="197"/>
      <c r="H89" s="197"/>
      <c r="I89" s="197"/>
    </row>
    <row r="90" spans="1:9">
      <c r="A90" s="210"/>
      <c r="B90" s="197"/>
      <c r="C90" s="197"/>
      <c r="D90" s="197"/>
      <c r="E90" s="197"/>
      <c r="F90" s="197"/>
      <c r="G90" s="197"/>
      <c r="H90" s="197"/>
      <c r="I90" s="197"/>
    </row>
    <row r="91" spans="1:9">
      <c r="A91" s="209" t="s">
        <v>149</v>
      </c>
      <c r="B91" s="197"/>
      <c r="C91" s="209" t="s">
        <v>150</v>
      </c>
      <c r="D91" s="197"/>
      <c r="E91" s="209" t="s">
        <v>151</v>
      </c>
      <c r="F91" s="197"/>
      <c r="G91" s="191"/>
      <c r="H91" s="191"/>
      <c r="I91" s="191"/>
    </row>
    <row r="92" spans="1:9">
      <c r="A92" s="210"/>
      <c r="B92" s="197"/>
      <c r="C92" s="210"/>
      <c r="D92" s="197"/>
      <c r="E92" s="210"/>
      <c r="F92" s="197"/>
      <c r="G92" s="191"/>
      <c r="H92" s="191"/>
      <c r="I92" s="191"/>
    </row>
    <row r="93" spans="1:9">
      <c r="A93" s="210" t="s">
        <v>380</v>
      </c>
      <c r="B93" s="197"/>
      <c r="C93" s="210" t="s">
        <v>153</v>
      </c>
      <c r="D93" s="197"/>
      <c r="E93" s="210" t="s">
        <v>381</v>
      </c>
      <c r="F93" s="197"/>
      <c r="G93" s="191"/>
      <c r="H93" s="191"/>
      <c r="I93" s="191"/>
    </row>
    <row r="94" spans="1:9">
      <c r="A94" s="210" t="s">
        <v>250</v>
      </c>
      <c r="B94" s="197"/>
      <c r="C94" s="210"/>
      <c r="D94" s="197"/>
      <c r="E94" s="210"/>
      <c r="F94" s="197"/>
      <c r="G94" s="191"/>
      <c r="H94" s="191"/>
      <c r="I94" s="191"/>
    </row>
    <row r="95" spans="1:9">
      <c r="A95" s="210"/>
      <c r="B95" s="197"/>
      <c r="C95" s="197"/>
      <c r="D95" s="197"/>
      <c r="E95" s="197"/>
      <c r="F95" s="197"/>
      <c r="G95" s="197"/>
      <c r="H95" s="197"/>
      <c r="I95" s="197"/>
    </row>
    <row r="96" spans="1:9">
      <c r="A96" s="210"/>
      <c r="B96" s="197"/>
      <c r="C96" s="197"/>
      <c r="D96" s="197"/>
      <c r="E96" s="197"/>
      <c r="F96" s="197"/>
      <c r="G96" s="197"/>
      <c r="H96" s="197"/>
      <c r="I96" s="197"/>
    </row>
    <row r="97" spans="1:9">
      <c r="A97" s="210"/>
      <c r="B97" s="197"/>
      <c r="C97" s="197"/>
      <c r="D97" s="197"/>
      <c r="E97" s="197"/>
      <c r="F97" s="197"/>
      <c r="G97" s="197"/>
      <c r="H97" s="197"/>
      <c r="I97" s="197"/>
    </row>
    <row r="98" spans="1:9">
      <c r="A98" s="209" t="s">
        <v>155</v>
      </c>
      <c r="B98" s="197"/>
      <c r="C98" s="197"/>
      <c r="D98" s="197"/>
      <c r="E98" s="197"/>
      <c r="F98" s="197"/>
      <c r="G98" s="197"/>
      <c r="H98" s="197"/>
      <c r="I98" s="197"/>
    </row>
    <row r="99" spans="1:9">
      <c r="A99" s="190" t="s">
        <v>156</v>
      </c>
      <c r="B99" s="190" t="s">
        <v>157</v>
      </c>
      <c r="C99" s="190" t="s">
        <v>158</v>
      </c>
      <c r="D99" s="190" t="s">
        <v>159</v>
      </c>
      <c r="E99" s="190" t="s">
        <v>160</v>
      </c>
      <c r="F99" s="190" t="s">
        <v>161</v>
      </c>
      <c r="G99" s="190" t="s">
        <v>163</v>
      </c>
      <c r="H99" s="190" t="s">
        <v>290</v>
      </c>
      <c r="I99" s="191"/>
    </row>
    <row r="100" spans="1:9">
      <c r="A100" s="150">
        <v>45242</v>
      </c>
      <c r="B100" s="150">
        <v>45242</v>
      </c>
      <c r="C100" s="190" t="s">
        <v>190</v>
      </c>
      <c r="D100" s="191">
        <v>99004</v>
      </c>
      <c r="E100" s="191">
        <v>0</v>
      </c>
      <c r="F100" s="191">
        <v>320</v>
      </c>
      <c r="G100" s="190" t="s">
        <v>391</v>
      </c>
      <c r="H100" s="191"/>
      <c r="I100" s="191"/>
    </row>
    <row r="101" spans="1:9">
      <c r="A101" s="150">
        <v>45566</v>
      </c>
      <c r="B101" s="150">
        <v>45566</v>
      </c>
      <c r="C101" s="190" t="s">
        <v>190</v>
      </c>
      <c r="D101" s="191">
        <v>99004</v>
      </c>
      <c r="E101" s="191">
        <v>0</v>
      </c>
      <c r="F101" s="191">
        <v>320</v>
      </c>
      <c r="G101" s="190" t="s">
        <v>391</v>
      </c>
      <c r="H101" s="191"/>
      <c r="I101" s="191"/>
    </row>
    <row r="102" spans="1:9">
      <c r="A102" s="191" t="s">
        <v>392</v>
      </c>
      <c r="B102" s="191" t="s">
        <v>392</v>
      </c>
      <c r="C102" s="190" t="s">
        <v>209</v>
      </c>
      <c r="D102" s="191">
        <v>99020</v>
      </c>
      <c r="E102" s="191">
        <v>0</v>
      </c>
      <c r="F102" s="191">
        <v>320</v>
      </c>
      <c r="G102" s="190" t="s">
        <v>226</v>
      </c>
      <c r="H102" s="191"/>
      <c r="I102" s="191"/>
    </row>
    <row r="103" spans="1:9">
      <c r="A103" s="191" t="s">
        <v>382</v>
      </c>
      <c r="B103" s="191" t="s">
        <v>382</v>
      </c>
      <c r="C103" s="190" t="s">
        <v>209</v>
      </c>
      <c r="D103" s="191">
        <v>99020</v>
      </c>
      <c r="E103" s="191">
        <v>0</v>
      </c>
      <c r="F103" s="191">
        <v>500</v>
      </c>
      <c r="G103" s="190" t="s">
        <v>383</v>
      </c>
      <c r="H103" s="191"/>
      <c r="I103" s="191"/>
    </row>
    <row r="104" spans="1:9">
      <c r="A104" s="191" t="s">
        <v>393</v>
      </c>
      <c r="B104" s="191" t="s">
        <v>393</v>
      </c>
      <c r="C104" s="190" t="s">
        <v>209</v>
      </c>
      <c r="D104" s="191">
        <v>99020</v>
      </c>
      <c r="E104" s="191">
        <v>0</v>
      </c>
      <c r="F104" s="191">
        <v>320</v>
      </c>
      <c r="G104" s="190" t="s">
        <v>226</v>
      </c>
      <c r="H104" s="191"/>
      <c r="I104" s="191"/>
    </row>
    <row r="105" spans="1:9">
      <c r="A105" s="191" t="s">
        <v>394</v>
      </c>
      <c r="B105" s="191" t="s">
        <v>394</v>
      </c>
      <c r="C105" s="190" t="s">
        <v>209</v>
      </c>
      <c r="D105" s="191">
        <v>99020</v>
      </c>
      <c r="E105" s="191">
        <v>0</v>
      </c>
      <c r="F105" s="191">
        <v>320</v>
      </c>
      <c r="G105" s="190" t="s">
        <v>226</v>
      </c>
      <c r="H105" s="191"/>
      <c r="I105" s="191"/>
    </row>
    <row r="106" spans="1:9">
      <c r="A106" s="191" t="s">
        <v>395</v>
      </c>
      <c r="B106" s="191" t="s">
        <v>395</v>
      </c>
      <c r="C106" s="190" t="s">
        <v>209</v>
      </c>
      <c r="D106" s="191">
        <v>99020</v>
      </c>
      <c r="E106" s="191">
        <v>0</v>
      </c>
      <c r="F106" s="191">
        <v>320</v>
      </c>
      <c r="G106" s="190" t="s">
        <v>226</v>
      </c>
      <c r="H106" s="191"/>
      <c r="I106" s="191"/>
    </row>
    <row r="107" spans="1:9">
      <c r="A107" s="191" t="s">
        <v>396</v>
      </c>
      <c r="B107" s="191" t="s">
        <v>396</v>
      </c>
      <c r="C107" s="190" t="s">
        <v>209</v>
      </c>
      <c r="D107" s="191">
        <v>99020</v>
      </c>
      <c r="E107" s="191">
        <v>0</v>
      </c>
      <c r="F107" s="191">
        <v>320</v>
      </c>
      <c r="G107" s="190" t="s">
        <v>226</v>
      </c>
      <c r="H107" s="191"/>
      <c r="I107" s="191"/>
    </row>
    <row r="108" spans="1:9">
      <c r="A108" s="191" t="s">
        <v>397</v>
      </c>
      <c r="B108" s="191" t="s">
        <v>397</v>
      </c>
      <c r="C108" s="190" t="s">
        <v>209</v>
      </c>
      <c r="D108" s="191">
        <v>99020</v>
      </c>
      <c r="E108" s="191">
        <v>0</v>
      </c>
      <c r="F108" s="191">
        <v>320</v>
      </c>
      <c r="G108" s="190" t="s">
        <v>226</v>
      </c>
      <c r="H108" s="191"/>
      <c r="I108" s="191"/>
    </row>
    <row r="109" spans="1:9">
      <c r="A109" s="191" t="s">
        <v>398</v>
      </c>
      <c r="B109" s="191" t="s">
        <v>398</v>
      </c>
      <c r="C109" s="190" t="s">
        <v>209</v>
      </c>
      <c r="D109" s="191">
        <v>99020</v>
      </c>
      <c r="E109" s="191">
        <v>0</v>
      </c>
      <c r="F109" s="191">
        <v>320</v>
      </c>
      <c r="G109" s="190" t="s">
        <v>226</v>
      </c>
      <c r="H109" s="191"/>
      <c r="I109" s="191"/>
    </row>
    <row r="110" spans="1:9">
      <c r="A110" s="150">
        <v>45421</v>
      </c>
      <c r="B110" s="150">
        <v>45421</v>
      </c>
      <c r="C110" s="190" t="s">
        <v>209</v>
      </c>
      <c r="D110" s="191">
        <v>99020</v>
      </c>
      <c r="E110" s="191">
        <v>0</v>
      </c>
      <c r="F110" s="191">
        <v>670</v>
      </c>
      <c r="G110" s="190" t="s">
        <v>384</v>
      </c>
      <c r="H110" s="191"/>
      <c r="I110" s="191"/>
    </row>
    <row r="111" spans="1:9">
      <c r="A111" s="191" t="s">
        <v>399</v>
      </c>
      <c r="B111" s="191" t="s">
        <v>399</v>
      </c>
      <c r="C111" s="190" t="s">
        <v>209</v>
      </c>
      <c r="D111" s="191">
        <v>99020</v>
      </c>
      <c r="E111" s="191">
        <v>0</v>
      </c>
      <c r="F111" s="191">
        <v>320</v>
      </c>
      <c r="G111" s="190" t="s">
        <v>226</v>
      </c>
      <c r="H111" s="191"/>
      <c r="I111" s="191"/>
    </row>
    <row r="112" spans="1:9">
      <c r="A112" s="191" t="s">
        <v>385</v>
      </c>
      <c r="B112" s="191" t="s">
        <v>385</v>
      </c>
      <c r="C112" s="190" t="s">
        <v>209</v>
      </c>
      <c r="D112" s="191">
        <v>99020</v>
      </c>
      <c r="E112" s="191">
        <v>0</v>
      </c>
      <c r="F112" s="191">
        <v>670</v>
      </c>
      <c r="G112" s="190" t="s">
        <v>226</v>
      </c>
      <c r="H112" s="191"/>
      <c r="I112" s="191"/>
    </row>
    <row r="113" spans="1:9">
      <c r="A113" s="191" t="s">
        <v>385</v>
      </c>
      <c r="B113" s="191" t="s">
        <v>385</v>
      </c>
      <c r="C113" s="190" t="s">
        <v>209</v>
      </c>
      <c r="D113" s="191">
        <v>99020</v>
      </c>
      <c r="E113" s="191">
        <v>0</v>
      </c>
      <c r="F113" s="191">
        <v>670</v>
      </c>
      <c r="G113" s="190" t="s">
        <v>226</v>
      </c>
      <c r="H113" s="191"/>
      <c r="I113" s="191"/>
    </row>
    <row r="114" spans="1:9">
      <c r="A114" s="191" t="s">
        <v>400</v>
      </c>
      <c r="B114" s="191" t="s">
        <v>400</v>
      </c>
      <c r="C114" s="190" t="s">
        <v>209</v>
      </c>
      <c r="D114" s="191">
        <v>99020</v>
      </c>
      <c r="E114" s="191">
        <v>0</v>
      </c>
      <c r="F114" s="191">
        <v>320</v>
      </c>
      <c r="G114" s="190" t="s">
        <v>226</v>
      </c>
      <c r="H114" s="191"/>
      <c r="I114" s="191"/>
    </row>
    <row r="115" spans="1:9">
      <c r="A115" s="191" t="s">
        <v>401</v>
      </c>
      <c r="B115" s="191" t="s">
        <v>401</v>
      </c>
      <c r="C115" s="190" t="s">
        <v>209</v>
      </c>
      <c r="D115" s="191">
        <v>99020</v>
      </c>
      <c r="E115" s="191">
        <v>0</v>
      </c>
      <c r="F115" s="191">
        <v>320</v>
      </c>
      <c r="G115" s="190" t="s">
        <v>226</v>
      </c>
      <c r="H115" s="191"/>
      <c r="I115" s="191"/>
    </row>
    <row r="116" spans="1:9">
      <c r="A116" s="191" t="s">
        <v>386</v>
      </c>
      <c r="B116" s="191" t="s">
        <v>386</v>
      </c>
      <c r="C116" s="190" t="s">
        <v>209</v>
      </c>
      <c r="D116" s="191">
        <v>99020</v>
      </c>
      <c r="E116" s="191">
        <v>0</v>
      </c>
      <c r="F116" s="191">
        <v>670</v>
      </c>
      <c r="G116" s="190" t="s">
        <v>387</v>
      </c>
      <c r="H116" s="191"/>
      <c r="I116" s="191"/>
    </row>
    <row r="117" spans="1:9">
      <c r="A117" s="191" t="s">
        <v>402</v>
      </c>
      <c r="B117" s="191" t="s">
        <v>402</v>
      </c>
      <c r="C117" s="190" t="s">
        <v>209</v>
      </c>
      <c r="D117" s="191">
        <v>99020</v>
      </c>
      <c r="E117" s="191">
        <v>0</v>
      </c>
      <c r="F117" s="191">
        <v>320</v>
      </c>
      <c r="G117" s="190" t="s">
        <v>226</v>
      </c>
      <c r="H117" s="191"/>
      <c r="I117" s="191"/>
    </row>
    <row r="118" spans="1:9">
      <c r="A118" s="191" t="s">
        <v>403</v>
      </c>
      <c r="B118" s="191" t="s">
        <v>403</v>
      </c>
      <c r="C118" s="190" t="s">
        <v>209</v>
      </c>
      <c r="D118" s="191">
        <v>99020</v>
      </c>
      <c r="E118" s="191">
        <v>0</v>
      </c>
      <c r="F118" s="191">
        <v>320</v>
      </c>
      <c r="G118" s="190" t="s">
        <v>226</v>
      </c>
      <c r="H118" s="191"/>
      <c r="I118" s="191"/>
    </row>
    <row r="119" spans="1:9">
      <c r="A119" s="191" t="s">
        <v>388</v>
      </c>
      <c r="B119" s="191" t="s">
        <v>388</v>
      </c>
      <c r="C119" s="190" t="s">
        <v>209</v>
      </c>
      <c r="D119" s="191">
        <v>99020</v>
      </c>
      <c r="E119" s="191">
        <v>0</v>
      </c>
      <c r="F119" s="191">
        <v>820</v>
      </c>
      <c r="G119" s="190" t="s">
        <v>226</v>
      </c>
      <c r="H119" s="191"/>
      <c r="I119" s="191"/>
    </row>
    <row r="120" spans="1:9">
      <c r="A120" s="191" t="s">
        <v>404</v>
      </c>
      <c r="B120" s="191" t="s">
        <v>404</v>
      </c>
      <c r="C120" s="190" t="s">
        <v>209</v>
      </c>
      <c r="D120" s="191">
        <v>99020</v>
      </c>
      <c r="E120" s="191">
        <v>0</v>
      </c>
      <c r="F120" s="191">
        <v>320</v>
      </c>
      <c r="G120" s="190" t="s">
        <v>226</v>
      </c>
      <c r="H120" s="191"/>
      <c r="I120" s="191"/>
    </row>
    <row r="121" spans="1:9">
      <c r="A121" s="191" t="s">
        <v>405</v>
      </c>
      <c r="B121" s="191" t="s">
        <v>405</v>
      </c>
      <c r="C121" s="190" t="s">
        <v>209</v>
      </c>
      <c r="D121" s="191">
        <v>99020</v>
      </c>
      <c r="E121" s="191">
        <v>0</v>
      </c>
      <c r="F121" s="191">
        <v>320</v>
      </c>
      <c r="G121" s="190" t="s">
        <v>226</v>
      </c>
      <c r="H121" s="191"/>
      <c r="I121" s="191"/>
    </row>
    <row r="122" spans="1:9">
      <c r="A122" s="191" t="s">
        <v>406</v>
      </c>
      <c r="B122" s="191" t="s">
        <v>406</v>
      </c>
      <c r="C122" s="190" t="s">
        <v>209</v>
      </c>
      <c r="D122" s="191">
        <v>99020</v>
      </c>
      <c r="E122" s="191">
        <v>0</v>
      </c>
      <c r="F122" s="191">
        <v>320</v>
      </c>
      <c r="G122" s="190" t="s">
        <v>226</v>
      </c>
      <c r="H122" s="191"/>
      <c r="I122" s="191"/>
    </row>
    <row r="123" spans="1:9">
      <c r="A123" s="191" t="s">
        <v>407</v>
      </c>
      <c r="B123" s="191" t="s">
        <v>407</v>
      </c>
      <c r="C123" s="190" t="s">
        <v>209</v>
      </c>
      <c r="D123" s="191">
        <v>99020</v>
      </c>
      <c r="E123" s="191">
        <v>0</v>
      </c>
      <c r="F123" s="191">
        <v>320</v>
      </c>
      <c r="G123" s="190" t="s">
        <v>226</v>
      </c>
      <c r="H123" s="191"/>
      <c r="I123" s="191"/>
    </row>
    <row r="124" spans="1:9">
      <c r="A124" s="191" t="s">
        <v>389</v>
      </c>
      <c r="B124" s="191" t="s">
        <v>389</v>
      </c>
      <c r="C124" s="190" t="s">
        <v>209</v>
      </c>
      <c r="D124" s="191">
        <v>99020</v>
      </c>
      <c r="E124" s="191">
        <v>0</v>
      </c>
      <c r="F124" s="191">
        <v>883</v>
      </c>
      <c r="G124" s="190" t="s">
        <v>226</v>
      </c>
      <c r="H124" s="191"/>
      <c r="I124" s="191"/>
    </row>
    <row r="125" spans="1:9">
      <c r="A125" s="191" t="s">
        <v>408</v>
      </c>
      <c r="B125" s="191" t="s">
        <v>408</v>
      </c>
      <c r="C125" s="190" t="s">
        <v>209</v>
      </c>
      <c r="D125" s="191">
        <v>99020</v>
      </c>
      <c r="E125" s="191">
        <v>0</v>
      </c>
      <c r="F125" s="191">
        <v>320</v>
      </c>
      <c r="G125" s="190" t="s">
        <v>226</v>
      </c>
      <c r="H125" s="191"/>
      <c r="I125" s="191"/>
    </row>
    <row r="126" spans="1:9">
      <c r="A126" s="191" t="s">
        <v>390</v>
      </c>
      <c r="B126" s="191" t="s">
        <v>390</v>
      </c>
      <c r="C126" s="190" t="s">
        <v>209</v>
      </c>
      <c r="D126" s="191">
        <v>99020</v>
      </c>
      <c r="E126" s="191">
        <v>0</v>
      </c>
      <c r="F126" s="191">
        <v>883</v>
      </c>
      <c r="G126" s="190" t="s">
        <v>226</v>
      </c>
      <c r="H126" s="191"/>
      <c r="I126" s="191"/>
    </row>
    <row r="127" spans="1:9">
      <c r="A127" s="191" t="s">
        <v>409</v>
      </c>
      <c r="B127" s="191" t="s">
        <v>409</v>
      </c>
      <c r="C127" s="190" t="s">
        <v>209</v>
      </c>
      <c r="D127" s="191">
        <v>99020</v>
      </c>
      <c r="E127" s="191">
        <v>0</v>
      </c>
      <c r="F127" s="191">
        <v>320</v>
      </c>
      <c r="G127" s="190" t="s">
        <v>226</v>
      </c>
      <c r="H127" s="191"/>
      <c r="I127" s="191"/>
    </row>
    <row r="128" spans="1:9">
      <c r="A128" s="191" t="s">
        <v>410</v>
      </c>
      <c r="B128" s="191" t="s">
        <v>410</v>
      </c>
      <c r="C128" s="190" t="s">
        <v>209</v>
      </c>
      <c r="D128" s="191">
        <v>99020</v>
      </c>
      <c r="E128" s="191">
        <v>0</v>
      </c>
      <c r="F128" s="191">
        <v>320</v>
      </c>
      <c r="G128" s="190" t="s">
        <v>226</v>
      </c>
      <c r="H128" s="191"/>
      <c r="I128" s="191"/>
    </row>
    <row r="129" spans="1:9">
      <c r="A129" s="191" t="s">
        <v>411</v>
      </c>
      <c r="B129" s="191" t="s">
        <v>411</v>
      </c>
      <c r="C129" s="190" t="s">
        <v>209</v>
      </c>
      <c r="D129" s="191">
        <v>99020</v>
      </c>
      <c r="E129" s="191">
        <v>0</v>
      </c>
      <c r="F129" s="191">
        <v>350</v>
      </c>
      <c r="G129" s="190" t="s">
        <v>226</v>
      </c>
      <c r="H129" s="191"/>
      <c r="I129" s="191"/>
    </row>
    <row r="130" spans="1:9">
      <c r="A130" s="191" t="s">
        <v>412</v>
      </c>
      <c r="B130" s="191" t="s">
        <v>412</v>
      </c>
      <c r="C130" s="190" t="s">
        <v>209</v>
      </c>
      <c r="D130" s="191">
        <v>99020</v>
      </c>
      <c r="E130" s="191">
        <v>0</v>
      </c>
      <c r="F130" s="191">
        <v>350</v>
      </c>
      <c r="G130" s="190" t="s">
        <v>226</v>
      </c>
      <c r="H130" s="191"/>
      <c r="I130" s="191"/>
    </row>
    <row r="131" spans="1:9">
      <c r="A131" s="191" t="s">
        <v>223</v>
      </c>
      <c r="B131" s="191" t="s">
        <v>223</v>
      </c>
      <c r="C131" s="190" t="s">
        <v>209</v>
      </c>
      <c r="D131" s="191">
        <v>99020</v>
      </c>
      <c r="E131" s="191">
        <v>0</v>
      </c>
      <c r="F131" s="191">
        <v>350</v>
      </c>
      <c r="G131" s="190" t="s">
        <v>226</v>
      </c>
      <c r="H131" s="191"/>
      <c r="I131" s="191"/>
    </row>
  </sheetData>
  <mergeCells count="54">
    <mergeCell ref="A98:I98"/>
    <mergeCell ref="A73:I73"/>
    <mergeCell ref="C42:H42"/>
    <mergeCell ref="A68:B68"/>
    <mergeCell ref="A88:I88"/>
    <mergeCell ref="A93:B93"/>
    <mergeCell ref="E93:F93"/>
    <mergeCell ref="A87:I87"/>
    <mergeCell ref="C69:D69"/>
    <mergeCell ref="A97:I97"/>
    <mergeCell ref="A96:I96"/>
    <mergeCell ref="A72:I72"/>
    <mergeCell ref="A91:B91"/>
    <mergeCell ref="C91:D91"/>
    <mergeCell ref="E91:F91"/>
    <mergeCell ref="A95:I95"/>
    <mergeCell ref="A18:N18"/>
    <mergeCell ref="A71:B71"/>
    <mergeCell ref="C71:D71"/>
    <mergeCell ref="A67:I67"/>
    <mergeCell ref="C70:D70"/>
    <mergeCell ref="E70:F70"/>
    <mergeCell ref="B38:B40"/>
    <mergeCell ref="C94:D94"/>
    <mergeCell ref="B26:B28"/>
    <mergeCell ref="E94:F94"/>
    <mergeCell ref="C93:D93"/>
    <mergeCell ref="E69:F69"/>
    <mergeCell ref="A94:B94"/>
    <mergeCell ref="A74:I74"/>
    <mergeCell ref="A70:B70"/>
    <mergeCell ref="E92:F92"/>
    <mergeCell ref="A89:I89"/>
    <mergeCell ref="E71:F71"/>
    <mergeCell ref="A92:B92"/>
    <mergeCell ref="C92:D92"/>
    <mergeCell ref="A90:I90"/>
    <mergeCell ref="A75:I75"/>
    <mergeCell ref="A12:I12"/>
    <mergeCell ref="A14:A16"/>
    <mergeCell ref="A38:A40"/>
    <mergeCell ref="A32:A34"/>
    <mergeCell ref="A69:B69"/>
    <mergeCell ref="A36:N36"/>
    <mergeCell ref="B14:B16"/>
    <mergeCell ref="A24:N24"/>
    <mergeCell ref="A30:N30"/>
    <mergeCell ref="A20:A22"/>
    <mergeCell ref="A66:I66"/>
    <mergeCell ref="C68:D68"/>
    <mergeCell ref="A26:A28"/>
    <mergeCell ref="E68:F68"/>
    <mergeCell ref="B20:B22"/>
    <mergeCell ref="B32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2026-05-12T19:00:38Z</dcterms:modified>
  <cp:category/>
  <cp:contentStatus/>
</cp:coreProperties>
</file>