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/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>
        <v>7500</v>
      </c>
      <c r="F2" s="246" t="n"/>
      <c r="G2" s="246" t="n"/>
      <c r="H2" s="246" t="n"/>
      <c r="I2" s="246" t="n"/>
      <c r="J2" s="246" t="n"/>
      <c r="K2" s="246" t="n"/>
      <c r="L2" s="246" t="n"/>
      <c r="M2" s="246" t="n"/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>
        <v>4558.28</v>
      </c>
      <c r="F3" s="246" t="n"/>
      <c r="G3" s="246" t="n"/>
      <c r="H3" s="246" t="n"/>
      <c r="I3" s="246" t="n"/>
      <c r="J3" s="246" t="n"/>
      <c r="K3" s="246" t="n"/>
      <c r="L3" s="246" t="n"/>
      <c r="M3" s="246" t="n"/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>
        <v>3353.66</v>
      </c>
      <c r="F4" s="246" t="n"/>
      <c r="G4" s="246" t="n"/>
      <c r="H4" s="246" t="n"/>
      <c r="I4" s="246" t="n"/>
      <c r="J4" s="246" t="n"/>
      <c r="K4" s="246" t="n"/>
      <c r="L4" s="246" t="n"/>
      <c r="M4" s="246" t="n"/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/>
      <c r="G5" s="246" t="n"/>
      <c r="H5" s="246" t="n"/>
      <c r="I5" s="246" t="n"/>
      <c r="J5" s="246" t="n"/>
      <c r="K5" s="246" t="n"/>
      <c r="L5" s="246" t="n"/>
      <c r="M5" s="246" t="n"/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>
        <v>981</v>
      </c>
      <c r="F6" s="246" t="n"/>
      <c r="G6" s="246" t="n"/>
      <c r="H6" s="246" t="n"/>
      <c r="I6" s="246" t="n"/>
      <c r="J6" s="246" t="n"/>
      <c r="K6" s="246" t="n"/>
      <c r="L6" s="246" t="n"/>
      <c r="M6" s="246" t="n"/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/>
      <c r="F7" s="246" t="n"/>
      <c r="G7" s="246" t="n"/>
      <c r="H7" s="246" t="n"/>
      <c r="I7" s="246" t="n"/>
      <c r="J7" s="246" t="n"/>
      <c r="K7" s="246" t="n"/>
      <c r="L7" s="246" t="n"/>
      <c r="M7" s="246" t="n"/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>
        <v>90.77</v>
      </c>
      <c r="F8" s="246" t="n"/>
      <c r="G8" s="246" t="n"/>
      <c r="H8" s="246" t="n"/>
      <c r="I8" s="246" t="n"/>
      <c r="J8" s="246" t="n"/>
      <c r="K8" s="246" t="n"/>
      <c r="L8" s="246" t="n"/>
      <c r="M8" s="246" t="n"/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>
        <f>77+74.25</f>
        <v/>
      </c>
      <c r="E9" s="246" t="n">
        <v>77</v>
      </c>
      <c r="F9" s="246" t="n"/>
      <c r="G9" s="246" t="n"/>
      <c r="H9" s="246" t="n"/>
      <c r="I9" s="246" t="n"/>
      <c r="J9" s="246" t="n"/>
      <c r="K9" s="246" t="n"/>
      <c r="L9" s="246" t="n"/>
      <c r="M9" s="246" t="n"/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>
        <f>24.57+24.57</f>
        <v/>
      </c>
      <c r="E10" s="246" t="n">
        <v>24.57</v>
      </c>
      <c r="F10" s="246" t="n"/>
      <c r="G10" s="246" t="n"/>
      <c r="H10" s="246" t="n"/>
      <c r="I10" s="246" t="n"/>
      <c r="J10" s="246" t="n"/>
      <c r="K10" s="246" t="n"/>
      <c r="L10" s="246" t="n"/>
      <c r="M10" s="246" t="n"/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>
        <v>25</v>
      </c>
      <c r="F11" s="246" t="n"/>
      <c r="G11" s="246" t="n"/>
      <c r="H11" s="246" t="n"/>
      <c r="I11" s="246" t="n"/>
      <c r="J11" s="246" t="n"/>
      <c r="K11" s="246" t="n"/>
      <c r="L11" s="246" t="n"/>
      <c r="M11" s="246" t="n"/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>
        <v>26.4</v>
      </c>
      <c r="F12" s="249" t="n"/>
      <c r="G12" s="249" t="n"/>
      <c r="H12" s="249" t="n"/>
      <c r="I12" s="249" t="n"/>
      <c r="J12" s="249" t="n"/>
      <c r="K12" s="249" t="n"/>
      <c r="L12" s="249" t="n"/>
      <c r="M12" s="249" t="n"/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>
        <f>500+700+48.38+177+665+650+350</f>
        <v/>
      </c>
      <c r="D13" s="249" t="n">
        <v>6500</v>
      </c>
      <c r="E13" s="249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7" t="n"/>
      <c r="O13" s="248" t="n"/>
    </row>
    <row r="14">
      <c r="A14" s="19" t="inlineStr">
        <is>
          <t>קופה קטנה</t>
        </is>
      </c>
      <c r="B14" s="249">
        <f>'קופה קטנה'!B43</f>
        <v/>
      </c>
      <c r="C14" s="249">
        <f>'קופה קטנה'!C43</f>
        <v/>
      </c>
      <c r="D14" s="249">
        <f>'קופה קטנה'!D43</f>
        <v/>
      </c>
      <c r="E14" s="249">
        <f>'קופה קטנה'!E43</f>
        <v/>
      </c>
      <c r="F14" s="249">
        <f>'קופה קטנה'!F43</f>
        <v/>
      </c>
      <c r="G14" s="249">
        <f>'קופה קטנה'!G43</f>
        <v/>
      </c>
      <c r="H14" s="249">
        <f>'קופה קטנה'!H43</f>
        <v/>
      </c>
      <c r="I14" s="249">
        <f>'קופה קטנה'!I43</f>
        <v/>
      </c>
      <c r="J14" s="249">
        <f>'קופה קטנה'!J43</f>
        <v/>
      </c>
      <c r="K14" s="249">
        <f>'קופה קטנה'!K43</f>
        <v/>
      </c>
      <c r="L14" s="249">
        <f>'קופה קטנה'!L43</f>
        <v/>
      </c>
      <c r="M14" s="249">
        <f>'קופה קטנה'!M43</f>
        <v/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>
        <f>SUM(B2:B13)</f>
        <v/>
      </c>
      <c r="C16" s="250">
        <f>SUM(C2:C13)</f>
        <v/>
      </c>
      <c r="D16" s="250">
        <f>SUM(D2:D13)</f>
        <v/>
      </c>
      <c r="E16" s="250">
        <f>SUM(E2:E13)</f>
        <v/>
      </c>
      <c r="F16" s="250">
        <f>SUM(F2:F13)</f>
        <v/>
      </c>
      <c r="G16" s="250">
        <f>SUM(G2:G13)</f>
        <v/>
      </c>
      <c r="H16" s="250">
        <f>SUM(H2:H13)</f>
        <v/>
      </c>
      <c r="I16" s="250">
        <f>SUM(I2:I13)</f>
        <v/>
      </c>
      <c r="J16" s="250">
        <f>SUM(J2:J13)</f>
        <v/>
      </c>
      <c r="K16" s="250">
        <f>SUM(K2:K13)</f>
        <v/>
      </c>
      <c r="L16" s="250">
        <f>SUM(L2:L13)</f>
        <v/>
      </c>
      <c r="M16" s="250">
        <f>SUM(M2:M13)</f>
        <v/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>
        <f>SUM(B14)</f>
        <v/>
      </c>
      <c r="C17" s="250">
        <f>SUM(C14)</f>
        <v/>
      </c>
      <c r="D17" s="250">
        <f>SUM(D14)</f>
        <v/>
      </c>
      <c r="E17" s="250">
        <f>SUM(E14)</f>
        <v/>
      </c>
      <c r="F17" s="250">
        <f>SUM(F14)</f>
        <v/>
      </c>
      <c r="G17" s="250">
        <f>SUM(G14)</f>
        <v/>
      </c>
      <c r="H17" s="250">
        <f>SUM(H14)</f>
        <v/>
      </c>
      <c r="I17" s="250">
        <f>SUM(I14)</f>
        <v/>
      </c>
      <c r="J17" s="250">
        <f>SUM(J14)</f>
        <v/>
      </c>
      <c r="K17" s="250">
        <f>SUM(K14)</f>
        <v/>
      </c>
      <c r="L17" s="250">
        <f>SUM(L14)</f>
        <v/>
      </c>
      <c r="M17" s="250">
        <f>SUM(M14)</f>
        <v/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>
        <f>SUM(B16:B17)</f>
        <v/>
      </c>
      <c r="C18" s="250">
        <f>SUM(C16:C17)</f>
        <v/>
      </c>
      <c r="D18" s="250">
        <f>SUM(D16:D17)</f>
        <v/>
      </c>
      <c r="E18" s="250">
        <f>SUM(E16:E17)</f>
        <v/>
      </c>
      <c r="F18" s="250">
        <f>SUM(F16:F17)</f>
        <v/>
      </c>
      <c r="G18" s="250">
        <f>SUM(G16:G17)</f>
        <v/>
      </c>
      <c r="H18" s="250">
        <f>SUM(H16:H17)</f>
        <v/>
      </c>
      <c r="I18" s="250">
        <f>SUM(I16:I17)</f>
        <v/>
      </c>
      <c r="J18" s="250">
        <f>SUM(J16:J17)</f>
        <v/>
      </c>
      <c r="K18" s="250">
        <f>SUM(K16:K17)</f>
        <v/>
      </c>
      <c r="L18" s="250">
        <f>SUM(L16:L17)</f>
        <v/>
      </c>
      <c r="M18" s="250">
        <f>SUM(M16:M17)</f>
        <v/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>
        <f>'גביה 2026'!E62</f>
        <v/>
      </c>
      <c r="C19" s="246">
        <f>'גביה 2026'!F62</f>
        <v/>
      </c>
      <c r="D19" s="246">
        <f>'גביה 2026'!G62</f>
        <v/>
      </c>
      <c r="E19" s="246">
        <f>'גביה 2026'!H62</f>
        <v/>
      </c>
      <c r="F19" s="246">
        <f>'גביה 2026'!I62</f>
        <v/>
      </c>
      <c r="G19" s="246">
        <f>'גביה 2026'!J62</f>
        <v/>
      </c>
      <c r="H19" s="246">
        <f>'גביה 2026'!K62</f>
        <v/>
      </c>
      <c r="I19" s="246">
        <f>'גביה 2026'!L62</f>
        <v/>
      </c>
      <c r="J19" s="246">
        <f>'גביה 2026'!M62</f>
        <v/>
      </c>
      <c r="K19" s="246">
        <f>'גביה 2026'!N62</f>
        <v/>
      </c>
      <c r="L19" s="246">
        <f>'גביה 2026'!O62</f>
        <v/>
      </c>
      <c r="M19" s="246">
        <f>'גביה 2026'!P62</f>
        <v/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17" t="inlineStr">
        <is>
          <t>בנק לאומי |</t>
        </is>
      </c>
    </row>
    <row r="2">
      <c r="A2" s="218" t="inlineStr">
        <is>
          <t>מס' חשבון : ‏‏ ‎885-37554/82‎</t>
        </is>
      </c>
    </row>
    <row r="3">
      <c r="A3" s="218" t="inlineStr">
        <is>
          <t>תאריך שמירה/הדפסה: 9/2/2026</t>
        </is>
      </c>
    </row>
    <row r="4">
      <c r="A4" s="219" t="n"/>
    </row>
    <row r="5" ht="15.75" customHeight="1" s="177">
      <c r="A5" s="220" t="inlineStr">
        <is>
          <t>היתרה</t>
        </is>
      </c>
      <c r="C5" s="221" t="inlineStr">
        <is>
          <t>מסגרת האשראי</t>
        </is>
      </c>
      <c r="E5" s="222" t="inlineStr">
        <is>
          <t>נכון לתאריך</t>
        </is>
      </c>
      <c r="G5" s="182" t="n"/>
      <c r="H5" s="182" t="n"/>
      <c r="I5" s="182" t="n"/>
    </row>
    <row r="6">
      <c r="A6" s="218" t="n"/>
      <c r="C6" s="223" t="n"/>
      <c r="E6" s="224" t="n"/>
      <c r="G6" s="182" t="n"/>
      <c r="H6" s="182" t="n"/>
      <c r="I6" s="182" t="n"/>
    </row>
    <row r="7">
      <c r="A7" s="225" t="inlineStr">
        <is>
          <t>₪ 22,270.89</t>
        </is>
      </c>
      <c r="C7" s="226" t="inlineStr">
        <is>
          <t>₪ 0.00</t>
        </is>
      </c>
      <c r="E7" s="227" t="inlineStr">
        <is>
          <t>09.02.26</t>
        </is>
      </c>
      <c r="G7" s="182" t="n"/>
      <c r="H7" s="182" t="n"/>
      <c r="I7" s="182" t="n"/>
    </row>
    <row r="8">
      <c r="A8" s="225" t="inlineStr">
        <is>
          <t>* כולל תנועות היום</t>
        </is>
      </c>
      <c r="C8" s="223" t="n"/>
      <c r="E8" s="224" t="n"/>
      <c r="G8" s="182" t="n"/>
      <c r="H8" s="182" t="n"/>
      <c r="I8" s="182" t="n"/>
    </row>
    <row r="9">
      <c r="A9" s="228" t="n"/>
    </row>
    <row r="10">
      <c r="A10" s="228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5" t="n">
        <v>13</v>
      </c>
      <c r="B14" s="237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5" t="n">
        <v>13</v>
      </c>
      <c r="B20" s="237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5" t="n">
        <v>13</v>
      </c>
      <c r="B26" s="237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5" t="n">
        <v>13</v>
      </c>
      <c r="B32" s="237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5" t="n">
        <v>13</v>
      </c>
      <c r="B38" s="237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2026-05-08T19:07:18Z</dcterms:modified>
  <cp:lastModifiedBy>Daniel V</cp:lastModifiedBy>
</cp:coreProperties>
</file>