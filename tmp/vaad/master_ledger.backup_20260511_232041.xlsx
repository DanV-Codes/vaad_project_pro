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1" activeTab="1" autoFilterDateGrouping="1"/>
  </bookViews>
  <sheets>
    <sheet xmlns:r="http://schemas.openxmlformats.org/officeDocument/2006/relationships" name="גביה 2026" sheetId="1" state="visible" r:id="rId1"/>
    <sheet xmlns:r="http://schemas.openxmlformats.org/officeDocument/2006/relationships" name="הוצאות 2026" sheetId="2" state="visible" r:id="rId2"/>
    <sheet xmlns:r="http://schemas.openxmlformats.org/officeDocument/2006/relationships" name="Jan26" sheetId="3" state="visible" r:id="rId3"/>
    <sheet xmlns:r="http://schemas.openxmlformats.org/officeDocument/2006/relationships" name="Feb26" sheetId="4" state="visible" r:id="rId4"/>
    <sheet xmlns:r="http://schemas.openxmlformats.org/officeDocument/2006/relationships" name="March26" sheetId="5" state="visible" r:id="rId5"/>
    <sheet xmlns:r="http://schemas.openxmlformats.org/officeDocument/2006/relationships" name="April26" sheetId="6" state="visible" r:id="rId6"/>
    <sheet xmlns:r="http://schemas.openxmlformats.org/officeDocument/2006/relationships" name="קופה קטנה" sheetId="7" state="visible" r:id="rId7"/>
    <sheet xmlns:r="http://schemas.openxmlformats.org/officeDocument/2006/relationships" name="חוב דירה 13" sheetId="8" state="visible" r:id="rId8"/>
  </sheets>
  <definedNames/>
  <calcPr calcId="191028" fullCalcOnLoad="1"/>
</workbook>
</file>

<file path=xl/styles.xml><?xml version="1.0" encoding="utf-8"?>
<styleSheet xmlns="http://schemas.openxmlformats.org/spreadsheetml/2006/main">
  <numFmts count="6">
    <numFmt numFmtId="164" formatCode="&quot;₪&quot;#,##0"/>
    <numFmt numFmtId="165" formatCode="0.0%"/>
    <numFmt numFmtId="166" formatCode="[$₪-40D]\ #,##0"/>
    <numFmt numFmtId="167" formatCode="_-&quot;₪&quot;* #,##0.0_-;\-&quot;₪&quot;* #,##0.0_-;_-&quot;₪&quot;* &quot;-&quot;??_-;_-@_-"/>
    <numFmt numFmtId="168" formatCode="_-&quot;₪&quot;* #,##0.00_-;\-&quot;₪&quot;* #,##0.00_-;_-&quot;₪&quot;* &quot;-&quot;??_-;_-@_-"/>
    <numFmt numFmtId="169" formatCode="_ [$₪-40D]\ * #,##0.00_ ;_ [$₪-40D]\ * \-#,##0.00_ ;_ [$₪-40D]\ * &quot;-&quot;??_ ;_ @_ "/>
  </numFmts>
  <fonts count="23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0"/>
      <sz val="11"/>
      <u val="single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FF0000"/>
      <sz val="11"/>
      <scheme val="minor"/>
    </font>
    <font>
      <name val="Inherit"/>
      <color rgb="FF465C74"/>
      <sz val="11"/>
    </font>
    <font>
      <name val="Inherit"/>
      <color rgb="FF465C74"/>
      <sz val="10"/>
    </font>
    <font>
      <name val="Aptos Narrow"/>
      <family val="2"/>
      <strike val="1"/>
      <color theme="1"/>
      <sz val="11"/>
      <scheme val="minor"/>
    </font>
    <font>
      <name val="Inherit"/>
      <strike val="1"/>
      <color rgb="FF465C74"/>
      <sz val="11"/>
    </font>
    <font>
      <name val="Aptos Narrow"/>
      <family val="2"/>
      <color rgb="FF000000"/>
      <sz val="11"/>
      <scheme val="minor"/>
    </font>
    <font>
      <name val="Aptos Narrow"/>
      <charset val="1"/>
      <color rgb="FF242424"/>
      <sz val="11"/>
    </font>
    <font>
      <name val="Calibri"/>
      <family val="2"/>
      <color rgb="FF000000"/>
      <sz val="11"/>
    </font>
    <font>
      <name val="Calibri"/>
      <family val="2"/>
      <b val="1"/>
      <color rgb="FF000000"/>
      <sz val="14"/>
    </font>
    <font>
      <name val="Calibri"/>
      <family val="2"/>
      <b val="1"/>
      <color rgb="FF000000"/>
      <sz val="11"/>
    </font>
    <font>
      <name val="Calibri"/>
      <family val="2"/>
      <b val="1"/>
      <color rgb="FF000000"/>
      <sz val="12"/>
    </font>
    <font>
      <name val="Calibri"/>
      <family val="2"/>
      <b val="1"/>
      <color rgb="FF00B050"/>
      <sz val="11"/>
    </font>
    <font>
      <name val="Calibri"/>
      <family val="2"/>
      <strike val="1"/>
      <color rgb="FF465C74"/>
      <sz val="10"/>
      <scheme val="minor"/>
    </font>
    <font>
      <name val="Calibri"/>
      <family val="2"/>
      <color rgb="FF465C74"/>
      <sz val="10"/>
      <scheme val="minor"/>
    </font>
    <font>
      <name val="Calibri"/>
      <family val="2"/>
      <b val="1"/>
      <color rgb="FF465C74"/>
      <sz val="12"/>
      <scheme val="minor"/>
    </font>
    <font>
      <name val="Calibri"/>
      <color rgb="FF000000"/>
      <sz val="11"/>
    </font>
    <font>
      <name val="Aptos Narrow"/>
      <family val="2"/>
      <b val="1"/>
      <color theme="1"/>
      <sz val="11"/>
      <u val="single"/>
      <scheme val="minor"/>
    </font>
  </fonts>
  <fills count="14">
    <fill>
      <patternFill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FEB9C"/>
        <bgColor indexed="64"/>
      </patternFill>
    </fill>
  </fills>
  <borders count="65">
    <border>
      <left/>
      <right/>
      <top/>
      <bottom/>
      <diagonal/>
    </border>
    <border>
      <left/>
      <right style="thin">
        <color indexed="64"/>
      </right>
      <top style="thin">
        <color theme="4" tint="0.3999755851924192"/>
      </top>
      <bottom style="thin">
        <color theme="4" tint="0.399975585192419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theme="4" tint="0.3999755851924192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indexed="64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9">
    <xf numFmtId="0" fontId="1" fillId="0" borderId="0"/>
    <xf numFmtId="0" fontId="1" fillId="0" borderId="0"/>
    <xf numFmtId="9" fontId="1" fillId="0" borderId="0"/>
    <xf numFmtId="0" fontId="4" fillId="4" borderId="0"/>
    <xf numFmtId="0" fontId="5" fillId="5" borderId="0"/>
    <xf numFmtId="0" fontId="1" fillId="6" borderId="0"/>
    <xf numFmtId="0" fontId="1" fillId="7" borderId="0"/>
    <xf numFmtId="0" fontId="1" fillId="8" borderId="0"/>
    <xf numFmtId="168" fontId="1" fillId="0" borderId="0"/>
  </cellStyleXfs>
  <cellXfs count="241">
    <xf numFmtId="0" fontId="0" fillId="0" borderId="0" pivotButton="0" quotePrefix="0" xfId="0"/>
    <xf numFmtId="0" fontId="9" fillId="0" borderId="0" pivotButton="0" quotePrefix="0" xfId="0"/>
    <xf numFmtId="14" fontId="4" fillId="4" borderId="0" pivotButton="0" quotePrefix="0" xfId="3"/>
    <xf numFmtId="4" fontId="4" fillId="4" borderId="0" pivotButton="0" quotePrefix="0" xfId="3"/>
    <xf numFmtId="0" fontId="4" fillId="4" borderId="0" pivotButton="0" quotePrefix="0" xfId="3"/>
    <xf numFmtId="0" fontId="2" fillId="0" borderId="2" applyAlignment="1" pivotButton="0" quotePrefix="0" xfId="0">
      <alignment horizontal="center"/>
    </xf>
    <xf numFmtId="0" fontId="0" fillId="0" borderId="3" pivotButton="0" quotePrefix="0" xfId="0"/>
    <xf numFmtId="0" fontId="2" fillId="0" borderId="4" applyAlignment="1" pivotButton="0" quotePrefix="0" xfId="0">
      <alignment horizontal="center"/>
    </xf>
    <xf numFmtId="0" fontId="0" fillId="0" borderId="5" pivotButton="0" quotePrefix="0" xfId="0"/>
    <xf numFmtId="0" fontId="0" fillId="9" borderId="1" pivotButton="0" quotePrefix="0" xfId="0"/>
    <xf numFmtId="0" fontId="0" fillId="5" borderId="7" pivotButton="0" quotePrefix="0" xfId="4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3" pivotButton="0" quotePrefix="0" xfId="0"/>
    <xf numFmtId="0" fontId="2" fillId="0" borderId="16" pivotButton="0" quotePrefix="0" xfId="0"/>
    <xf numFmtId="0" fontId="1" fillId="7" borderId="0" pivotButton="0" quotePrefix="0" xfId="6"/>
    <xf numFmtId="14" fontId="1" fillId="7" borderId="0" pivotButton="0" quotePrefix="0" xfId="6"/>
    <xf numFmtId="4" fontId="1" fillId="7" borderId="0" pivotButton="0" quotePrefix="0" xfId="6"/>
    <xf numFmtId="0" fontId="2" fillId="0" borderId="0" pivotButton="0" quotePrefix="0" xfId="0"/>
    <xf numFmtId="9" fontId="0" fillId="0" borderId="0" pivotButton="0" quotePrefix="0" xfId="2"/>
    <xf numFmtId="9" fontId="2" fillId="0" borderId="0" pivotButton="0" quotePrefix="0" xfId="2"/>
    <xf numFmtId="0" fontId="1" fillId="8" borderId="0" pivotButton="0" quotePrefix="0" xfId="7"/>
    <xf numFmtId="0" fontId="0" fillId="0" borderId="0" applyAlignment="1" pivotButton="0" quotePrefix="0" xfId="0">
      <alignment vertical="center"/>
    </xf>
    <xf numFmtId="0" fontId="3" fillId="2" borderId="20" pivotButton="0" quotePrefix="0" xfId="0"/>
    <xf numFmtId="0" fontId="3" fillId="2" borderId="20" applyAlignment="1" pivotButton="0" quotePrefix="0" xfId="0">
      <alignment horizontal="right"/>
    </xf>
    <xf numFmtId="0" fontId="3" fillId="2" borderId="21" pivotButton="0" quotePrefix="0" xfId="0"/>
    <xf numFmtId="0" fontId="3" fillId="2" borderId="22" pivotButton="0" quotePrefix="0" xfId="0"/>
    <xf numFmtId="0" fontId="0" fillId="0" borderId="23" pivotButton="0" quotePrefix="0" xfId="0"/>
    <xf numFmtId="0" fontId="0" fillId="0" borderId="0" applyAlignment="1" pivotButton="0" quotePrefix="0" xfId="0">
      <alignment horizontal="right"/>
    </xf>
    <xf numFmtId="0" fontId="0" fillId="9" borderId="0" pivotButton="0" quotePrefix="0" xfId="0"/>
    <xf numFmtId="0" fontId="0" fillId="9" borderId="23" pivotButton="0" quotePrefix="0" xfId="0"/>
    <xf numFmtId="0" fontId="11" fillId="0" borderId="0" pivotButton="0" quotePrefix="0" xfId="0"/>
    <xf numFmtId="0" fontId="0" fillId="0" borderId="24" pivotButton="0" quotePrefix="0" xfId="0"/>
    <xf numFmtId="0" fontId="0" fillId="0" borderId="24" applyAlignment="1" pivotButton="0" quotePrefix="0" xfId="0">
      <alignment horizontal="right"/>
    </xf>
    <xf numFmtId="0" fontId="0" fillId="0" borderId="25" pivotButton="0" quotePrefix="0" xfId="0"/>
    <xf numFmtId="0" fontId="2" fillId="3" borderId="0" applyAlignment="1" pivotButton="0" quotePrefix="0" xfId="0">
      <alignment horizontal="center"/>
    </xf>
    <xf numFmtId="0" fontId="2" fillId="0" borderId="24" applyAlignment="1" pivotButton="0" quotePrefix="0" xfId="0">
      <alignment horizontal="center"/>
    </xf>
    <xf numFmtId="0" fontId="2" fillId="3" borderId="20" applyAlignment="1" pivotButton="0" quotePrefix="0" xfId="0">
      <alignment horizontal="center"/>
    </xf>
    <xf numFmtId="0" fontId="0" fillId="0" borderId="20" applyAlignment="1" pivotButton="0" quotePrefix="0" xfId="0">
      <alignment horizontal="right"/>
    </xf>
    <xf numFmtId="0" fontId="0" fillId="0" borderId="20" pivotButton="0" quotePrefix="0" xfId="0"/>
    <xf numFmtId="0" fontId="0" fillId="0" borderId="27" pivotButton="0" quotePrefix="0" xfId="0"/>
    <xf numFmtId="0" fontId="0" fillId="0" borderId="28" applyAlignment="1" pivotButton="0" quotePrefix="0" xfId="0">
      <alignment vertical="center"/>
    </xf>
    <xf numFmtId="0" fontId="2" fillId="0" borderId="20" applyAlignment="1" pivotButton="0" quotePrefix="0" xfId="0">
      <alignment horizontal="center"/>
    </xf>
    <xf numFmtId="0" fontId="0" fillId="9" borderId="20" pivotButton="0" quotePrefix="0" xfId="0"/>
    <xf numFmtId="0" fontId="0" fillId="9" borderId="27" pivotButton="0" quotePrefix="0" xfId="0"/>
    <xf numFmtId="0" fontId="13" fillId="0" borderId="0" applyAlignment="1" pivotButton="0" quotePrefix="0" xfId="0">
      <alignment readingOrder="1"/>
    </xf>
    <xf numFmtId="0" fontId="13" fillId="0" borderId="29" applyAlignment="1" pivotButton="0" quotePrefix="0" xfId="0">
      <alignment readingOrder="1"/>
    </xf>
    <xf numFmtId="0" fontId="13" fillId="0" borderId="0" applyAlignment="1" pivotButton="0" quotePrefix="0" xfId="0">
      <alignment readingOrder="2"/>
    </xf>
    <xf numFmtId="0" fontId="13" fillId="0" borderId="32" applyAlignment="1" pivotButton="0" quotePrefix="0" xfId="0">
      <alignment readingOrder="2"/>
    </xf>
    <xf numFmtId="0" fontId="13" fillId="0" borderId="33" applyAlignment="1" pivotButton="0" quotePrefix="0" xfId="0">
      <alignment wrapText="1" readingOrder="2"/>
    </xf>
    <xf numFmtId="0" fontId="16" fillId="0" borderId="34" applyAlignment="1" pivotButton="0" quotePrefix="0" xfId="0">
      <alignment wrapText="1" readingOrder="2"/>
    </xf>
    <xf numFmtId="0" fontId="16" fillId="0" borderId="35" applyAlignment="1" pivotButton="0" quotePrefix="0" xfId="0">
      <alignment readingOrder="2"/>
    </xf>
    <xf numFmtId="0" fontId="16" fillId="0" borderId="36" applyAlignment="1" pivotButton="0" quotePrefix="0" xfId="0">
      <alignment readingOrder="2"/>
    </xf>
    <xf numFmtId="0" fontId="16" fillId="10" borderId="37" applyAlignment="1" pivotButton="0" quotePrefix="0" xfId="0">
      <alignment readingOrder="2"/>
    </xf>
    <xf numFmtId="0" fontId="16" fillId="0" borderId="32" applyAlignment="1" pivotButton="0" quotePrefix="0" xfId="0">
      <alignment readingOrder="2"/>
    </xf>
    <xf numFmtId="0" fontId="16" fillId="0" borderId="33" applyAlignment="1" pivotButton="0" quotePrefix="0" xfId="0">
      <alignment readingOrder="2"/>
    </xf>
    <xf numFmtId="0" fontId="13" fillId="0" borderId="42" applyAlignment="1" pivotButton="0" quotePrefix="0" xfId="0">
      <alignment readingOrder="1"/>
    </xf>
    <xf numFmtId="0" fontId="13" fillId="0" borderId="15" applyAlignment="1" pivotButton="0" quotePrefix="0" xfId="0">
      <alignment readingOrder="1"/>
    </xf>
    <xf numFmtId="0" fontId="13" fillId="10" borderId="43" applyAlignment="1" pivotButton="0" quotePrefix="0" xfId="0">
      <alignment readingOrder="1"/>
    </xf>
    <xf numFmtId="0" fontId="13" fillId="0" borderId="35" applyAlignment="1" pivotButton="0" quotePrefix="0" xfId="0">
      <alignment readingOrder="2"/>
    </xf>
    <xf numFmtId="0" fontId="13" fillId="0" borderId="36" applyAlignment="1" pivotButton="0" quotePrefix="0" xfId="0">
      <alignment readingOrder="2"/>
    </xf>
    <xf numFmtId="0" fontId="13" fillId="10" borderId="37" applyAlignment="1" pivotButton="0" quotePrefix="0" xfId="0">
      <alignment readingOrder="2"/>
    </xf>
    <xf numFmtId="0" fontId="13" fillId="0" borderId="0" applyAlignment="1" pivotButton="0" quotePrefix="0" xfId="0">
      <alignment wrapText="1" readingOrder="1"/>
    </xf>
    <xf numFmtId="0" fontId="13" fillId="0" borderId="40" applyAlignment="1" pivotButton="0" quotePrefix="0" xfId="0">
      <alignment readingOrder="1"/>
    </xf>
    <xf numFmtId="0" fontId="13" fillId="0" borderId="36" applyAlignment="1" pivotButton="0" quotePrefix="0" xfId="0">
      <alignment wrapText="1" readingOrder="2"/>
    </xf>
    <xf numFmtId="0" fontId="16" fillId="10" borderId="5" applyAlignment="1" pivotButton="0" quotePrefix="0" xfId="0">
      <alignment readingOrder="2"/>
    </xf>
    <xf numFmtId="0" fontId="16" fillId="0" borderId="34" applyAlignment="1" pivotButton="0" quotePrefix="0" xfId="0">
      <alignment readingOrder="2"/>
    </xf>
    <xf numFmtId="0" fontId="16" fillId="0" borderId="44" applyAlignment="1" pivotButton="0" quotePrefix="0" xfId="0">
      <alignment wrapText="1" readingOrder="2"/>
    </xf>
    <xf numFmtId="0" fontId="13" fillId="10" borderId="14" applyAlignment="1" pivotButton="0" quotePrefix="0" xfId="0">
      <alignment readingOrder="1"/>
    </xf>
    <xf numFmtId="0" fontId="13" fillId="0" borderId="13" applyAlignment="1" pivotButton="0" quotePrefix="0" xfId="0">
      <alignment readingOrder="1"/>
    </xf>
    <xf numFmtId="0" fontId="13" fillId="0" borderId="43" applyAlignment="1" pivotButton="0" quotePrefix="0" xfId="0">
      <alignment readingOrder="1"/>
    </xf>
    <xf numFmtId="0" fontId="13" fillId="10" borderId="5" applyAlignment="1" pivotButton="0" quotePrefix="0" xfId="0">
      <alignment readingOrder="2"/>
    </xf>
    <xf numFmtId="0" fontId="13" fillId="0" borderId="34" applyAlignment="1" pivotButton="0" quotePrefix="0" xfId="0">
      <alignment readingOrder="2"/>
    </xf>
    <xf numFmtId="0" fontId="13" fillId="0" borderId="37" applyAlignment="1" pivotButton="0" quotePrefix="0" xfId="0">
      <alignment readingOrder="2"/>
    </xf>
    <xf numFmtId="0" fontId="16" fillId="11" borderId="29" applyAlignment="1" pivotButton="0" quotePrefix="0" xfId="0">
      <alignment readingOrder="2"/>
    </xf>
    <xf numFmtId="0" fontId="16" fillId="11" borderId="45" applyAlignment="1" pivotButton="0" quotePrefix="0" xfId="0">
      <alignment readingOrder="2"/>
    </xf>
    <xf numFmtId="0" fontId="13" fillId="11" borderId="46" applyAlignment="1" pivotButton="0" quotePrefix="0" xfId="0">
      <alignment readingOrder="1"/>
    </xf>
    <xf numFmtId="0" fontId="13" fillId="11" borderId="47" applyAlignment="1" pivotButton="0" quotePrefix="0" xfId="0">
      <alignment readingOrder="1"/>
    </xf>
    <xf numFmtId="0" fontId="13" fillId="11" borderId="35" applyAlignment="1" pivotButton="0" quotePrefix="0" xfId="0">
      <alignment readingOrder="2"/>
    </xf>
    <xf numFmtId="0" fontId="13" fillId="11" borderId="33" applyAlignment="1" pivotButton="0" quotePrefix="0" xfId="0">
      <alignment readingOrder="2"/>
    </xf>
    <xf numFmtId="0" fontId="16" fillId="11" borderId="13" applyAlignment="1" pivotButton="0" quotePrefix="0" xfId="0">
      <alignment readingOrder="2"/>
    </xf>
    <xf numFmtId="0" fontId="13" fillId="11" borderId="48" applyAlignment="1" pivotButton="0" quotePrefix="0" xfId="0">
      <alignment readingOrder="1"/>
    </xf>
    <xf numFmtId="0" fontId="13" fillId="11" borderId="34" applyAlignment="1" pivotButton="0" quotePrefix="0" xfId="0">
      <alignment readingOrder="2"/>
    </xf>
    <xf numFmtId="0" fontId="13" fillId="12" borderId="3" applyAlignment="1" pivotButton="0" quotePrefix="0" xfId="0">
      <alignment readingOrder="1"/>
    </xf>
    <xf numFmtId="0" fontId="15" fillId="12" borderId="49" applyAlignment="1" pivotButton="0" quotePrefix="0" xfId="0">
      <alignment wrapText="1" readingOrder="2"/>
    </xf>
    <xf numFmtId="0" fontId="15" fillId="12" borderId="12" applyAlignment="1" pivotButton="0" quotePrefix="0" xfId="0">
      <alignment wrapText="1" readingOrder="2"/>
    </xf>
    <xf numFmtId="0" fontId="15" fillId="12" borderId="50" applyAlignment="1" pivotButton="0" quotePrefix="0" xfId="0">
      <alignment wrapText="1" readingOrder="2"/>
    </xf>
    <xf numFmtId="0" fontId="15" fillId="12" borderId="51" applyAlignment="1" pivotButton="0" quotePrefix="0" xfId="0">
      <alignment wrapText="1" readingOrder="2"/>
    </xf>
    <xf numFmtId="0" fontId="15" fillId="12" borderId="51" applyAlignment="1" pivotButton="0" quotePrefix="0" xfId="0">
      <alignment readingOrder="2"/>
    </xf>
    <xf numFmtId="0" fontId="15" fillId="12" borderId="52" applyAlignment="1" pivotButton="0" quotePrefix="0" xfId="0">
      <alignment readingOrder="2"/>
    </xf>
    <xf numFmtId="0" fontId="15" fillId="12" borderId="53" applyAlignment="1" pivotButton="0" quotePrefix="0" xfId="0">
      <alignment readingOrder="1"/>
    </xf>
    <xf numFmtId="3" fontId="15" fillId="12" borderId="53" applyAlignment="1" pivotButton="0" quotePrefix="0" xfId="0">
      <alignment readingOrder="1"/>
    </xf>
    <xf numFmtId="3" fontId="15" fillId="12" borderId="54" applyAlignment="1" pivotButton="0" quotePrefix="0" xfId="0">
      <alignment readingOrder="1"/>
    </xf>
    <xf numFmtId="0" fontId="15" fillId="12" borderId="30" applyAlignment="1" pivotButton="0" quotePrefix="0" xfId="0">
      <alignment readingOrder="1"/>
    </xf>
    <xf numFmtId="3" fontId="15" fillId="12" borderId="51" applyAlignment="1" pivotButton="0" quotePrefix="0" xfId="0">
      <alignment readingOrder="1"/>
    </xf>
    <xf numFmtId="0" fontId="13" fillId="10" borderId="13" applyAlignment="1" pivotButton="0" quotePrefix="0" xfId="0">
      <alignment readingOrder="1"/>
    </xf>
    <xf numFmtId="0" fontId="15" fillId="12" borderId="39" applyAlignment="1" pivotButton="0" quotePrefix="0" xfId="0">
      <alignment readingOrder="2"/>
    </xf>
    <xf numFmtId="0" fontId="13" fillId="12" borderId="49" applyAlignment="1" pivotButton="0" quotePrefix="0" xfId="0">
      <alignment readingOrder="1"/>
    </xf>
    <xf numFmtId="3" fontId="15" fillId="12" borderId="49" applyAlignment="1" pivotButton="0" quotePrefix="0" xfId="0">
      <alignment readingOrder="1"/>
    </xf>
    <xf numFmtId="0" fontId="15" fillId="12" borderId="12" applyAlignment="1" pivotButton="0" quotePrefix="0" xfId="0">
      <alignment wrapText="1" readingOrder="1"/>
    </xf>
    <xf numFmtId="3" fontId="15" fillId="12" borderId="12" applyAlignment="1" pivotButton="0" quotePrefix="0" xfId="0">
      <alignment wrapText="1" readingOrder="1"/>
    </xf>
    <xf numFmtId="3" fontId="15" fillId="12" borderId="55" applyAlignment="1" pivotButton="0" quotePrefix="0" xfId="0">
      <alignment readingOrder="1"/>
    </xf>
    <xf numFmtId="0" fontId="15" fillId="12" borderId="56" applyAlignment="1" pivotButton="0" quotePrefix="0" xfId="0">
      <alignment readingOrder="1"/>
    </xf>
    <xf numFmtId="3" fontId="15" fillId="12" borderId="56" applyAlignment="1" pivotButton="0" quotePrefix="0" xfId="0">
      <alignment readingOrder="1"/>
    </xf>
    <xf numFmtId="0" fontId="17" fillId="12" borderId="37" applyAlignment="1" pivotButton="0" quotePrefix="0" xfId="0">
      <alignment readingOrder="2"/>
    </xf>
    <xf numFmtId="0" fontId="17" fillId="12" borderId="31" applyAlignment="1" pivotButton="0" quotePrefix="0" xfId="0">
      <alignment readingOrder="1"/>
    </xf>
    <xf numFmtId="0" fontId="17" fillId="12" borderId="53" applyAlignment="1" pivotButton="0" quotePrefix="0" xfId="0">
      <alignment readingOrder="1"/>
    </xf>
    <xf numFmtId="0" fontId="17" fillId="12" borderId="30" applyAlignment="1" pivotButton="0" quotePrefix="0" xfId="0">
      <alignment readingOrder="1"/>
    </xf>
    <xf numFmtId="0" fontId="17" fillId="12" borderId="57" applyAlignment="1" pivotButton="0" quotePrefix="0" xfId="0">
      <alignment readingOrder="1"/>
    </xf>
    <xf numFmtId="0" fontId="13" fillId="10" borderId="0" applyAlignment="1" pivotButton="0" quotePrefix="0" xfId="0">
      <alignment readingOrder="1"/>
    </xf>
    <xf numFmtId="0" fontId="15" fillId="0" borderId="0" applyAlignment="1" pivotButton="0" quotePrefix="0" xfId="0">
      <alignment readingOrder="2"/>
    </xf>
    <xf numFmtId="0" fontId="0" fillId="0" borderId="0" applyAlignment="1" pivotButton="0" quotePrefix="0" xfId="0">
      <alignment horizontal="right" wrapText="1"/>
    </xf>
    <xf numFmtId="9" fontId="0" fillId="0" borderId="0" pivotButton="0" quotePrefix="0" xfId="0"/>
    <xf numFmtId="4" fontId="1" fillId="8" borderId="0" pivotButton="0" quotePrefix="0" xfId="7"/>
    <xf numFmtId="0" fontId="2" fillId="0" borderId="0" applyAlignment="1" pivotButton="0" quotePrefix="0" xfId="0">
      <alignment horizontal="center"/>
    </xf>
    <xf numFmtId="0" fontId="12" fillId="0" borderId="0" pivotButton="0" quotePrefix="0" xfId="0"/>
    <xf numFmtId="0" fontId="12" fillId="0" borderId="20" pivotButton="0" quotePrefix="0" xfId="0"/>
    <xf numFmtId="0" fontId="2" fillId="3" borderId="24" applyAlignment="1" pivotButton="0" quotePrefix="0" xfId="0">
      <alignment horizontal="center"/>
    </xf>
    <xf numFmtId="0" fontId="18" fillId="0" borderId="0" pivotButton="0" quotePrefix="0" xfId="0"/>
    <xf numFmtId="4" fontId="18" fillId="0" borderId="0" pivotButton="0" quotePrefix="0" xfId="0"/>
    <xf numFmtId="14" fontId="18" fillId="0" borderId="0" pivotButton="0" quotePrefix="0" xfId="0"/>
    <xf numFmtId="0" fontId="10" fillId="0" borderId="0" pivotButton="0" quotePrefix="0" xfId="0"/>
    <xf numFmtId="0" fontId="6" fillId="0" borderId="0" pivotButton="0" quotePrefix="0" xfId="0"/>
    <xf numFmtId="0" fontId="6" fillId="0" borderId="20" pivotButton="0" quotePrefix="0" xfId="0"/>
    <xf numFmtId="0" fontId="21" fillId="10" borderId="13" applyAlignment="1" pivotButton="0" quotePrefix="0" xfId="0">
      <alignment readingOrder="1"/>
    </xf>
    <xf numFmtId="0" fontId="6" fillId="0" borderId="24" pivotButton="0" quotePrefix="0" xfId="0"/>
    <xf numFmtId="0" fontId="20" fillId="0" borderId="0" pivotButton="0" quotePrefix="0" xfId="0"/>
    <xf numFmtId="0" fontId="19" fillId="0" borderId="0" pivotButton="0" quotePrefix="0" xfId="0"/>
    <xf numFmtId="0" fontId="8" fillId="0" borderId="0" pivotButton="0" quotePrefix="0" xfId="0"/>
    <xf numFmtId="0" fontId="6" fillId="0" borderId="23" pivotButton="0" quotePrefix="0" xfId="0"/>
    <xf numFmtId="0" fontId="6" fillId="0" borderId="27" pivotButton="0" quotePrefix="0" xfId="0"/>
    <xf numFmtId="0" fontId="0" fillId="3" borderId="19" pivotButton="0" quotePrefix="0" xfId="0"/>
    <xf numFmtId="0" fontId="3" fillId="2" borderId="49" pivotButton="0" quotePrefix="0" xfId="0"/>
    <xf numFmtId="0" fontId="3" fillId="2" borderId="59" pivotButton="0" quotePrefix="0" xfId="0"/>
    <xf numFmtId="0" fontId="0" fillId="0" borderId="59" pivotButton="0" quotePrefix="0" xfId="0"/>
    <xf numFmtId="0" fontId="0" fillId="0" borderId="60" pivotButton="0" quotePrefix="0" xfId="0"/>
    <xf numFmtId="0" fontId="0" fillId="9" borderId="59" pivotButton="0" quotePrefix="0" xfId="0"/>
    <xf numFmtId="0" fontId="0" fillId="9" borderId="60" pivotButton="0" quotePrefix="0" xfId="0"/>
    <xf numFmtId="0" fontId="6" fillId="0" borderId="25" pivotButton="0" quotePrefix="0" xfId="0"/>
    <xf numFmtId="14" fontId="1" fillId="8" borderId="0" pivotButton="0" quotePrefix="0" xfId="7"/>
    <xf numFmtId="0" fontId="6" fillId="0" borderId="60" pivotButton="0" quotePrefix="0" xfId="0"/>
    <xf numFmtId="0" fontId="0" fillId="0" borderId="0" applyAlignment="1" pivotButton="0" quotePrefix="0" xfId="0">
      <alignment wrapText="1"/>
    </xf>
    <xf numFmtId="0" fontId="11" fillId="13" borderId="60" pivotButton="0" quotePrefix="0" xfId="0"/>
    <xf numFmtId="0" fontId="11" fillId="13" borderId="0" pivotButton="0" quotePrefix="0" xfId="0"/>
    <xf numFmtId="0" fontId="11" fillId="13" borderId="23" pivotButton="0" quotePrefix="0" xfId="0"/>
    <xf numFmtId="4" fontId="19" fillId="0" borderId="0" pivotButton="0" quotePrefix="0" xfId="0"/>
    <xf numFmtId="0" fontId="7" fillId="0" borderId="0" pivotButton="0" quotePrefix="0" xfId="0"/>
    <xf numFmtId="14" fontId="19" fillId="0" borderId="0" pivotButton="0" quotePrefix="0" xfId="0"/>
    <xf numFmtId="14" fontId="0" fillId="0" borderId="0" applyAlignment="1" pivotButton="0" quotePrefix="0" xfId="0">
      <alignment readingOrder="1"/>
    </xf>
    <xf numFmtId="0" fontId="22" fillId="0" borderId="0" pivotButton="0" quotePrefix="0" xfId="0"/>
    <xf numFmtId="14" fontId="1" fillId="6" borderId="0" pivotButton="0" quotePrefix="0" xfId="5"/>
    <xf numFmtId="4" fontId="1" fillId="6" borderId="0" pivotButton="0" quotePrefix="0" xfId="5"/>
    <xf numFmtId="0" fontId="1" fillId="6" borderId="0" pivotButton="0" quotePrefix="0" xfId="5"/>
    <xf numFmtId="14" fontId="1" fillId="7" borderId="0" applyAlignment="1" pivotButton="0" quotePrefix="0" xfId="6">
      <alignment readingOrder="1"/>
    </xf>
    <xf numFmtId="0" fontId="1" fillId="7" borderId="0" applyAlignment="1" pivotButton="0" quotePrefix="0" xfId="6">
      <alignment readingOrder="2"/>
    </xf>
    <xf numFmtId="0" fontId="1" fillId="7" borderId="0" applyAlignment="1" pivotButton="0" quotePrefix="0" xfId="6">
      <alignment readingOrder="1"/>
    </xf>
    <xf numFmtId="4" fontId="1" fillId="7" borderId="0" applyAlignment="1" pivotButton="0" quotePrefix="0" xfId="6">
      <alignment readingOrder="1"/>
    </xf>
    <xf numFmtId="0" fontId="0" fillId="0" borderId="11" applyAlignment="1" pivotButton="0" quotePrefix="0" xfId="0">
      <alignment horizontal="right"/>
    </xf>
    <xf numFmtId="14" fontId="4" fillId="4" borderId="0" applyAlignment="1" pivotButton="0" quotePrefix="0" xfId="3">
      <alignment readingOrder="1"/>
    </xf>
    <xf numFmtId="0" fontId="4" fillId="4" borderId="0" applyAlignment="1" pivotButton="0" quotePrefix="0" xfId="3">
      <alignment readingOrder="2"/>
    </xf>
    <xf numFmtId="0" fontId="4" fillId="4" borderId="0" applyAlignment="1" pivotButton="0" quotePrefix="0" xfId="3">
      <alignment readingOrder="1"/>
    </xf>
    <xf numFmtId="4" fontId="4" fillId="4" borderId="0" applyAlignment="1" pivotButton="0" quotePrefix="0" xfId="3">
      <alignment readingOrder="1"/>
    </xf>
    <xf numFmtId="14" fontId="1" fillId="6" borderId="0" applyAlignment="1" pivotButton="0" quotePrefix="0" xfId="5">
      <alignment readingOrder="1"/>
    </xf>
    <xf numFmtId="0" fontId="1" fillId="6" borderId="0" applyAlignment="1" pivotButton="0" quotePrefix="0" xfId="5">
      <alignment readingOrder="2"/>
    </xf>
    <xf numFmtId="0" fontId="1" fillId="6" borderId="0" applyAlignment="1" pivotButton="0" quotePrefix="0" xfId="5">
      <alignment readingOrder="1"/>
    </xf>
    <xf numFmtId="4" fontId="1" fillId="6" borderId="0" applyAlignment="1" pivotButton="0" quotePrefix="0" xfId="5">
      <alignment readingOrder="1"/>
    </xf>
    <xf numFmtId="0" fontId="0" fillId="0" borderId="61" pivotButton="0" quotePrefix="0" xfId="0"/>
    <xf numFmtId="0" fontId="0" fillId="0" borderId="0" pivotButton="0" quotePrefix="0" xfId="0"/>
    <xf numFmtId="164" fontId="0" fillId="0" borderId="24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4" fontId="0" fillId="0" borderId="5" applyAlignment="1" pivotButton="0" quotePrefix="0" xfId="0">
      <alignment horizontal="right"/>
    </xf>
    <xf numFmtId="165" fontId="0" fillId="0" borderId="6" pivotButton="0" quotePrefix="0" xfId="2"/>
    <xf numFmtId="166" fontId="0" fillId="0" borderId="0" pivotButton="0" quotePrefix="0" xfId="0"/>
    <xf numFmtId="167" fontId="0" fillId="0" borderId="0" pivotButton="0" quotePrefix="0" xfId="8"/>
    <xf numFmtId="167" fontId="2" fillId="0" borderId="11" pivotButton="0" quotePrefix="0" xfId="8"/>
    <xf numFmtId="167" fontId="2" fillId="0" borderId="12" pivotButton="0" quotePrefix="0" xfId="8"/>
    <xf numFmtId="167" fontId="0" fillId="0" borderId="14" pivotButton="0" quotePrefix="0" xfId="8"/>
    <xf numFmtId="167" fontId="2" fillId="0" borderId="17" pivotButton="0" quotePrefix="0" xfId="8"/>
    <xf numFmtId="167" fontId="2" fillId="0" borderId="13" pivotButton="0" quotePrefix="0" xfId="8"/>
    <xf numFmtId="167" fontId="2" fillId="0" borderId="15" pivotButton="0" quotePrefix="0" xfId="8"/>
    <xf numFmtId="165" fontId="0" fillId="0" borderId="0" pivotButton="0" quotePrefix="0" xfId="8"/>
    <xf numFmtId="167" fontId="0" fillId="3" borderId="18" pivotButton="0" quotePrefix="0" xfId="8"/>
    <xf numFmtId="167" fontId="2" fillId="3" borderId="19" pivotButton="0" quotePrefix="0" xfId="8"/>
    <xf numFmtId="167" fontId="2" fillId="3" borderId="1" pivotButton="0" quotePrefix="0" xfId="8"/>
    <xf numFmtId="168" fontId="0" fillId="0" borderId="0" pivotButton="0" quotePrefix="0" xfId="8"/>
    <xf numFmtId="168" fontId="2" fillId="0" borderId="0" pivotButton="0" quotePrefix="0" xfId="8"/>
    <xf numFmtId="169" fontId="0" fillId="0" borderId="0" pivotButton="0" quotePrefix="0" xfId="0"/>
    <xf numFmtId="168" fontId="2" fillId="0" borderId="0" pivotButton="0" quotePrefix="0" xfId="0"/>
    <xf numFmtId="0" fontId="0" fillId="0" borderId="0" applyAlignment="1" pivotButton="0" quotePrefix="0" xfId="0">
      <alignment readingOrder="2"/>
    </xf>
    <xf numFmtId="0" fontId="0" fillId="0" borderId="0" applyAlignment="1" pivotButton="0" quotePrefix="0" xfId="0">
      <alignment readingOrder="1"/>
    </xf>
    <xf numFmtId="0" fontId="0" fillId="0" borderId="26" applyAlignment="1" pivotButton="0" quotePrefix="0" xfId="0">
      <alignment horizontal="center" vertical="center"/>
    </xf>
    <xf numFmtId="0" fontId="0" fillId="0" borderId="58" pivotButton="0" quotePrefix="0" xfId="0"/>
    <xf numFmtId="0" fontId="0" fillId="0" borderId="62" pivotButton="0" quotePrefix="0" xfId="0"/>
    <xf numFmtId="0" fontId="0" fillId="0" borderId="58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wrapText="1"/>
    </xf>
    <xf numFmtId="0" fontId="0" fillId="0" borderId="0" pivotButton="0" quotePrefix="0" xfId="0"/>
    <xf numFmtId="0" fontId="19" fillId="0" borderId="0" applyAlignment="1" pivotButton="0" quotePrefix="0" xfId="0">
      <alignment horizontal="left" wrapText="1"/>
    </xf>
    <xf numFmtId="0" fontId="7" fillId="0" borderId="0" applyAlignment="1" pivotButton="0" quotePrefix="0" xfId="0">
      <alignment horizontal="left" wrapText="1"/>
    </xf>
    <xf numFmtId="0" fontId="20" fillId="0" borderId="0" applyAlignment="1" pivotButton="0" quotePrefix="0" xfId="0">
      <alignment horizontal="center" wrapText="1"/>
    </xf>
    <xf numFmtId="0" fontId="20" fillId="0" borderId="0" applyAlignment="1" pivotButton="0" quotePrefix="0" xfId="0">
      <alignment horizontal="right" wrapText="1"/>
    </xf>
    <xf numFmtId="0" fontId="7" fillId="0" borderId="0" applyAlignment="1" pivotButton="0" quotePrefix="0" xfId="0">
      <alignment horizontal="center" wrapText="1"/>
    </xf>
    <xf numFmtId="0" fontId="19" fillId="0" borderId="0" applyAlignment="1" pivotButton="0" quotePrefix="0" xfId="0">
      <alignment horizontal="center" wrapText="1"/>
    </xf>
    <xf numFmtId="0" fontId="19" fillId="0" borderId="0" applyAlignment="1" pivotButton="0" quotePrefix="0" xfId="0">
      <alignment horizontal="right" wrapText="1"/>
    </xf>
    <xf numFmtId="0" fontId="7" fillId="0" borderId="0" applyAlignment="1" pivotButton="0" quotePrefix="0" xfId="0">
      <alignment horizontal="right"/>
    </xf>
    <xf numFmtId="0" fontId="20" fillId="0" borderId="0" applyAlignment="1" pivotButton="0" quotePrefix="0" xfId="0">
      <alignment horizontal="left" wrapText="1"/>
    </xf>
    <xf numFmtId="0" fontId="7" fillId="0" borderId="0" applyAlignment="1" pivotButton="0" quotePrefix="0" xfId="0">
      <alignment horizontal="right" wrapText="1"/>
    </xf>
    <xf numFmtId="0" fontId="7" fillId="0" borderId="0" applyAlignment="1" pivotButton="0" quotePrefix="0" xfId="0">
      <alignment wrapText="1"/>
    </xf>
    <xf numFmtId="0" fontId="0" fillId="0" borderId="0" applyAlignment="1" pivotButton="0" quotePrefix="0" xfId="0">
      <alignment readingOrder="2"/>
    </xf>
    <xf numFmtId="0" fontId="0" fillId="0" borderId="0" applyAlignment="1" pivotButton="0" quotePrefix="0" xfId="0">
      <alignment readingOrder="1"/>
    </xf>
    <xf numFmtId="0" fontId="14" fillId="0" borderId="63" applyAlignment="1" pivotButton="0" quotePrefix="0" xfId="0">
      <alignment readingOrder="2"/>
    </xf>
    <xf numFmtId="0" fontId="0" fillId="0" borderId="30" pivotButton="0" quotePrefix="0" xfId="0"/>
    <xf numFmtId="0" fontId="0" fillId="0" borderId="31" pivotButton="0" quotePrefix="0" xfId="0"/>
    <xf numFmtId="0" fontId="13" fillId="0" borderId="38" applyAlignment="1" pivotButton="0" quotePrefix="0" xfId="0">
      <alignment readingOrder="1"/>
    </xf>
    <xf numFmtId="0" fontId="0" fillId="0" borderId="39" pivotButton="0" quotePrefix="0" xfId="0"/>
    <xf numFmtId="0" fontId="0" fillId="0" borderId="38" pivotButton="0" quotePrefix="0" xfId="0"/>
    <xf numFmtId="0" fontId="13" fillId="0" borderId="41" applyAlignment="1" pivotButton="0" quotePrefix="0" xfId="0">
      <alignment readingOrder="2"/>
    </xf>
    <xf numFmtId="0" fontId="0" fillId="0" borderId="12" pivotButton="0" quotePrefix="0" xfId="0"/>
    <xf numFmtId="0" fontId="0" fillId="0" borderId="41" pivotButton="0" quotePrefix="0" xfId="0"/>
    <xf numFmtId="0" fontId="15" fillId="0" borderId="63" applyAlignment="1" pivotButton="0" quotePrefix="0" xfId="0">
      <alignment readingOrder="2"/>
    </xf>
    <xf numFmtId="164" fontId="0" fillId="0" borderId="24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4" fontId="0" fillId="0" borderId="5" applyAlignment="1" pivotButton="0" quotePrefix="0" xfId="0">
      <alignment horizontal="right"/>
    </xf>
    <xf numFmtId="165" fontId="0" fillId="0" borderId="6" pivotButton="0" quotePrefix="0" xfId="2"/>
    <xf numFmtId="166" fontId="0" fillId="0" borderId="0" pivotButton="0" quotePrefix="0" xfId="0"/>
    <xf numFmtId="167" fontId="0" fillId="0" borderId="0" pivotButton="0" quotePrefix="0" xfId="8"/>
    <xf numFmtId="167" fontId="2" fillId="0" borderId="11" pivotButton="0" quotePrefix="0" xfId="8"/>
    <xf numFmtId="167" fontId="2" fillId="0" borderId="12" pivotButton="0" quotePrefix="0" xfId="8"/>
    <xf numFmtId="167" fontId="0" fillId="0" borderId="14" pivotButton="0" quotePrefix="0" xfId="8"/>
    <xf numFmtId="167" fontId="2" fillId="0" borderId="17" pivotButton="0" quotePrefix="0" xfId="8"/>
    <xf numFmtId="167" fontId="2" fillId="0" borderId="13" pivotButton="0" quotePrefix="0" xfId="8"/>
    <xf numFmtId="167" fontId="2" fillId="0" borderId="15" pivotButton="0" quotePrefix="0" xfId="8"/>
    <xf numFmtId="165" fontId="0" fillId="0" borderId="0" pivotButton="0" quotePrefix="0" xfId="8"/>
    <xf numFmtId="167" fontId="0" fillId="3" borderId="18" pivotButton="0" quotePrefix="0" xfId="8"/>
    <xf numFmtId="167" fontId="2" fillId="3" borderId="19" pivotButton="0" quotePrefix="0" xfId="8"/>
    <xf numFmtId="167" fontId="2" fillId="3" borderId="1" pivotButton="0" quotePrefix="0" xfId="8"/>
    <xf numFmtId="168" fontId="0" fillId="0" borderId="0" pivotButton="0" quotePrefix="0" xfId="8"/>
    <xf numFmtId="168" fontId="2" fillId="0" borderId="0" pivotButton="0" quotePrefix="0" xfId="8"/>
    <xf numFmtId="169" fontId="0" fillId="0" borderId="0" pivotButton="0" quotePrefix="0" xfId="0"/>
    <xf numFmtId="168" fontId="2" fillId="0" borderId="0" pivotButton="0" quotePrefix="0" xfId="0"/>
  </cellXfs>
  <cellStyles count="9">
    <cellStyle name="Normal" xfId="0" builtinId="0"/>
    <cellStyle name="Normal 2" xfId="1"/>
    <cellStyle name="Percent" xfId="2" builtinId="5"/>
    <cellStyle name="Good" xfId="3" builtinId="26"/>
    <cellStyle name="Neutral" xfId="4" builtinId="28"/>
    <cellStyle name="20% - Accent1" xfId="5" builtinId="30"/>
    <cellStyle name="20% - Accent2" xfId="6" builtinId="34"/>
    <cellStyle name="40% - Accent3" xfId="7" builtinId="39"/>
    <cellStyle name="Currency" xfId="8" builtinId="4"/>
  </cellStyles>
  <dxfs count="32"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9" formatCode="_-&quot;₪&quot;* #,##0.00_-;\-&quot;₪&quot;* #,##0.00_-;_-&quot;₪&quot;* &quot;-&quot;??_-;_-@_-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b val="1"/>
      </font>
      <numFmt numFmtId="168" formatCode="_-&quot;₪&quot;* #,##0.0_-;\-&quot;₪&quot;* #,##0.0_-;_-&quot;₪&quot;* &quot;-&quot;??_-;_-@_-"/>
      <border>
        <left/>
        <right style="thin">
          <color indexed="64"/>
        </right>
        <top/>
        <bottom/>
        <vertical/>
        <horizontal/>
      </border>
    </dxf>
    <dxf>
      <font>
        <b val="1"/>
      </font>
      <numFmt numFmtId="168" formatCode="_-&quot;₪&quot;* #,##0.0_-;\-&quot;₪&quot;* #,##0.0_-;_-&quot;₪&quot;* &quot;-&quot;??_-;_-@_-"/>
      <border>
        <left style="thin">
          <color indexed="64"/>
        </left>
        <right/>
        <top/>
        <bottom/>
        <vertical/>
        <horizontal/>
      </border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0" formatCode="General"/>
    </dxf>
    <dxf>
      <numFmt numFmtId="167" formatCode="&quot;₪&quot;#,##0"/>
      <alignment horizontal="right" vertical="bottom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bottom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ptos Narrow"/>
        <family val="2"/>
        <b val="1"/>
        <strike val="0"/>
        <outline val="0"/>
        <shadow val="0"/>
        <condense val="0"/>
        <color theme="0"/>
        <extend val="0"/>
        <sz val="11"/>
        <u val="single"/>
        <vertAlign val="baseline"/>
        <scheme val="minor"/>
      </font>
      <fill>
        <patternFill patternType="solid">
          <fgColor theme="4"/>
          <bgColor theme="4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e-IL"/>
              <a:t>התפלגות הוצאות חשמל לכל חודש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scatterChart>
        <scatterStyle val="lineMarker"/>
        <varyColors val="0"/>
        <ser>
          <idx val="0"/>
          <order val="0"/>
          <tx>
            <strRef>
              <f>'הוצאות 2026'!$A$4</f>
              <strCache>
                <ptCount val="1"/>
                <pt idx="0">
                  <v>חשמל ציבורי</v>
                </pt>
              </strCache>
            </strRef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yVal>
            <numRef>
              <f>'הוצאות 2026'!$B$4:$M$4</f>
              <numCache>
                <formatCode>_-"₪"* #,##0.0_-;\-"₪"* #,##0.0_-;_-"₪"* "-"??_-;_-@_-</formatCode>
                <ptCount val="12"/>
                <pt idx="0">
                  <v>3545.6</v>
                </pt>
                <pt idx="1">
                  <v>3595.06</v>
                </pt>
                <pt idx="2">
                  <v>3233.77</v>
                </pt>
                <pt idx="3">
                  <v>3353.66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7932424"/>
        <axId val="463299591"/>
      </scatterChart>
      <valAx>
        <axId val="207932424"/>
        <scaling>
          <orientation val="maxMin"/>
          <min val="1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200" b="1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e-IL"/>
                  <a:t>חודש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463299591"/>
        <crosses val="autoZero"/>
        <crossBetween val="midCat"/>
        <majorUnit val="1"/>
      </valAx>
      <valAx>
        <axId val="463299591"/>
        <scaling>
          <orientation val="minMax"/>
        </scaling>
        <delete val="0"/>
        <axPos val="r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-&quot;₪&quot;* #,##0.0_-;\-&quot;₪&quot;* #,##0.0_-;_-&quot;₪&quot;* &quot;-&quot;??_-;_-@_-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207932424"/>
        <crosses val="autoZero"/>
        <crossBetween val="midCat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 editAs="oneCell">
    <from>
      <col>29</col>
      <colOff>542925</colOff>
      <row>49</row>
      <rowOff>171450</rowOff>
    </from>
    <to>
      <col>35</col>
      <colOff>591067</colOff>
      <row>54</row>
      <rowOff>104899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965759333" y="9496425"/>
          <a:ext cx="3705742" cy="88594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28</col>
      <colOff>543442</colOff>
      <row>43</row>
      <rowOff>66675</rowOff>
    </from>
    <to>
      <col>35</col>
      <colOff>20089</colOff>
      <row>47</row>
      <rowOff>171571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9966330311" y="8248650"/>
          <a:ext cx="3743847" cy="86689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>
    <from>
      <col>15</col>
      <colOff>457200</colOff>
      <row>1</row>
      <rowOff>28575</rowOff>
    </from>
    <to>
      <col>23</col>
      <colOff>152400</colOff>
      <row>18</row>
      <rowOff>104775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able1" displayName="Table1" ref="B1:S66" headerRowCount="1" totalsRowShown="0" headerRowDxfId="31" tableBorderDxfId="30">
  <autoFilter ref="B1:S66"/>
  <tableColumns count="18">
    <tableColumn id="1" name="דירה" dataDxfId="29"/>
    <tableColumn id="2" name="משפחה" dataDxfId="28"/>
    <tableColumn id="4" name="בעל דירה" dataCellStyle="Normal"/>
    <tableColumn id="5" name="ינואר" dataDxfId="27"/>
    <tableColumn id="6" name="פברואר"/>
    <tableColumn id="7" name="מרץ"/>
    <tableColumn id="9" name="אפריל"/>
    <tableColumn id="10" name="מאי"/>
    <tableColumn id="11" name="יוני"/>
    <tableColumn id="13" name="יולי"/>
    <tableColumn id="14" name="אוגוסט"/>
    <tableColumn id="15" name="ספטמבר"/>
    <tableColumn id="16" name="אוקטובר"/>
    <tableColumn id="17" name="נובמבר"/>
    <tableColumn id="18" name="דצמבר"/>
    <tableColumn id="12" name="קופה קטנה 2026"/>
    <tableColumn id="8" name="הערות"/>
    <tableColumn id="19" name="אסמסכתא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O20" headerRowCount="1" totalsRowShown="0">
  <autoFilter ref="A1:O20"/>
  <tableColumns count="15">
    <tableColumn id="1" name="הוצאה"/>
    <tableColumn id="2" name="ינואר 25" dataDxfId="26" dataCellStyle="Currency"/>
    <tableColumn id="3" name="פברואר 25" dataDxfId="25" dataCellStyle="Currency">
      <calculatedColumnFormula>25+24.75</calculatedColumnFormula>
    </tableColumn>
    <tableColumn id="4" name="מרץ 25" dataDxfId="24" dataCellStyle="Currency">
      <calculatedColumnFormula>25+8.25</calculatedColumnFormula>
    </tableColumn>
    <tableColumn id="5" name="אפריל 25" dataDxfId="23" dataCellStyle="Currency"/>
    <tableColumn id="6" name="מאי 25" dataDxfId="22" dataCellStyle="Currency">
      <calculatedColumnFormula>25+21.5</calculatedColumnFormula>
    </tableColumn>
    <tableColumn id="7" name="יוני 25" dataDxfId="21" dataCellStyle="Currency">
      <calculatedColumnFormula>25+16.5</calculatedColumnFormula>
    </tableColumn>
    <tableColumn id="8" name="יולי 25" dataDxfId="20" dataCellStyle="Currency">
      <calculatedColumnFormula>25+23.1</calculatedColumnFormula>
    </tableColumn>
    <tableColumn id="9" name="אוגוסט 25" dataDxfId="19" dataCellStyle="Currency"/>
    <tableColumn id="10" name="ספטמבר 25" dataDxfId="18" dataCellStyle="Currency"/>
    <tableColumn id="11" name="אוקטובר 25" dataDxfId="17" dataCellStyle="Currency">
      <calculatedColumnFormula>25+23.1</calculatedColumnFormula>
    </tableColumn>
    <tableColumn id="12" name="נובמבר 25" dataDxfId="16" dataCellStyle="Currency">
      <calculatedColumnFormula>25+11.55</calculatedColumnFormula>
    </tableColumn>
    <tableColumn id="13" name="דצמבר 25" dataDxfId="15" dataCellStyle="Currency">
      <calculatedColumnFormula>25+16.5</calculatedColumnFormula>
    </tableColumn>
    <tableColumn id="14" name="ממוצא חודשי" dataDxfId="14" dataCellStyle="Currency">
      <calculatedColumnFormula>AVERAGE(Table2[[#This Row],[ינואר 25]:[דצמבר 25]])</calculatedColumnFormula>
    </tableColumn>
    <tableColumn id="15" name="סה&quot;כ שנתי" dataDxfId="13" dataCellStyle="Currency">
      <calculatedColumnFormula>SUM(Table2[[#This Row],[ינואר 25]:[דצמבר 25]])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M43" headerRowCount="1" totalsRowShown="0" dataDxfId="12" dataCellStyle="Currency">
  <autoFilter ref="A1:M43"/>
  <tableColumns count="13">
    <tableColumn id="1" name="פריט"/>
    <tableColumn id="2" name="ינואר" dataDxfId="11" dataCellStyle="Currency"/>
    <tableColumn id="3" name="פברואר" dataDxfId="10" dataCellStyle="Currency"/>
    <tableColumn id="4" name="מרץ" dataDxfId="9" dataCellStyle="Currency"/>
    <tableColumn id="5" name="אפריל" dataDxfId="8" dataCellStyle="Currency"/>
    <tableColumn id="6" name="מאי" dataDxfId="7" dataCellStyle="Currency"/>
    <tableColumn id="7" name="יוני" dataDxfId="6" dataCellStyle="Currency"/>
    <tableColumn id="8" name="יולי" dataDxfId="5" dataCellStyle="Currency"/>
    <tableColumn id="9" name="אוגוסט" dataDxfId="4" dataCellStyle="Currency"/>
    <tableColumn id="10" name="ספטמבר" dataDxfId="3" dataCellStyle="Currency">
      <calculatedColumnFormula>300+360</calculatedColumnFormula>
    </tableColumn>
    <tableColumn id="11" name="אוקטובר" dataDxfId="2" dataCellStyle="Currency"/>
    <tableColumn id="12" name="נובמבר" dataDxfId="1" dataCellStyle="Currency"/>
    <tableColumn id="13" name="דצמבר" dataDxfId="0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2.xm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4"/>
  <sheetViews>
    <sheetView rightToLeft="1" workbookViewId="0">
      <selection activeCell="W9" sqref="W9"/>
    </sheetView>
  </sheetViews>
  <sheetFormatPr baseColWidth="8" defaultRowHeight="15"/>
  <cols>
    <col width="9.140625" customWidth="1" style="24" min="1" max="1"/>
    <col width="29.42578125" customWidth="1" style="197" min="2" max="2"/>
    <col width="16.5703125" customWidth="1" style="30" min="3" max="3"/>
    <col width="12.42578125" bestFit="1" customWidth="1" style="197" min="4" max="4"/>
    <col width="11.42578125" bestFit="1" customWidth="1" style="197" min="5" max="5"/>
    <col width="10.5703125" bestFit="1" customWidth="1" style="197" min="6" max="6"/>
    <col width="9.28515625" bestFit="1" customWidth="1" style="197" min="8" max="8"/>
    <col width="10.140625" bestFit="1" customWidth="1" style="197" min="12" max="12"/>
    <col width="11.7109375" bestFit="1" customWidth="1" style="197" min="13" max="13"/>
    <col width="11.5703125" bestFit="1" customWidth="1" style="197" min="14" max="14"/>
    <col width="18.7109375" bestFit="1" customWidth="1" style="197" min="17" max="17"/>
    <col width="36.5703125" bestFit="1" customWidth="1" style="197" min="18" max="18"/>
    <col width="36.5703125" bestFit="1" customWidth="1" style="197" min="24" max="24"/>
    <col width="17" bestFit="1" customWidth="1" style="197" min="25" max="25"/>
  </cols>
  <sheetData>
    <row r="1">
      <c r="A1" s="43" t="inlineStr">
        <is>
          <t>קומה</t>
        </is>
      </c>
      <c r="B1" s="25" t="inlineStr">
        <is>
          <t>דירה</t>
        </is>
      </c>
      <c r="C1" s="26" t="inlineStr">
        <is>
          <t>משפחה</t>
        </is>
      </c>
      <c r="D1" s="25" t="inlineStr">
        <is>
          <t>בעל דירה</t>
        </is>
      </c>
      <c r="E1" s="135" t="inlineStr">
        <is>
          <t>ינואר</t>
        </is>
      </c>
      <c r="F1" s="27" t="inlineStr">
        <is>
          <t>פברואר</t>
        </is>
      </c>
      <c r="G1" s="27" t="inlineStr">
        <is>
          <t>מרץ</t>
        </is>
      </c>
      <c r="H1" s="27" t="inlineStr">
        <is>
          <t>אפריל</t>
        </is>
      </c>
      <c r="I1" s="27" t="inlineStr">
        <is>
          <t>מאי</t>
        </is>
      </c>
      <c r="J1" s="27" t="inlineStr">
        <is>
          <t>יוני</t>
        </is>
      </c>
      <c r="K1" s="27" t="inlineStr">
        <is>
          <t>יולי</t>
        </is>
      </c>
      <c r="L1" s="27" t="inlineStr">
        <is>
          <t>אוגוסט</t>
        </is>
      </c>
      <c r="M1" s="27" t="inlineStr">
        <is>
          <t>ספטמבר</t>
        </is>
      </c>
      <c r="N1" s="27" t="inlineStr">
        <is>
          <t>אוקטובר</t>
        </is>
      </c>
      <c r="O1" s="27" t="inlineStr">
        <is>
          <t>נובמבר</t>
        </is>
      </c>
      <c r="P1" s="28" t="inlineStr">
        <is>
          <t>דצמבר</t>
        </is>
      </c>
      <c r="Q1" s="25" t="inlineStr">
        <is>
          <t>קופה קטנה 2026</t>
        </is>
      </c>
      <c r="R1" s="134" t="inlineStr">
        <is>
          <t>הערות</t>
        </is>
      </c>
      <c r="S1" s="134" t="inlineStr">
        <is>
          <t>אסמסכתא</t>
        </is>
      </c>
      <c r="X1" s="151" t="inlineStr">
        <is>
          <t>חובות</t>
        </is>
      </c>
    </row>
    <row r="2">
      <c r="A2" s="192" t="n">
        <v>1</v>
      </c>
      <c r="B2" s="39" t="n">
        <v>1</v>
      </c>
      <c r="C2" s="40" t="inlineStr">
        <is>
          <t>אלייב</t>
        </is>
      </c>
      <c r="D2" s="41" t="n"/>
      <c r="E2" s="136" t="n">
        <v>350</v>
      </c>
      <c r="F2" s="41" t="n">
        <v>350</v>
      </c>
      <c r="G2" s="41" t="n">
        <v>350</v>
      </c>
      <c r="H2" s="41" t="n">
        <v>350</v>
      </c>
      <c r="I2" s="41" t="n"/>
      <c r="J2" s="41" t="n"/>
      <c r="K2" s="41" t="n"/>
      <c r="L2" s="41" t="n"/>
      <c r="M2" s="41" t="n"/>
      <c r="N2" s="41" t="n"/>
      <c r="O2" s="41" t="n"/>
      <c r="P2" s="42" t="n"/>
      <c r="Q2" t="n">
        <v>500</v>
      </c>
      <c r="S2" s="41" t="n"/>
      <c r="X2">
        <f t="array" ref="X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B2, _xlpm.payments, E2:P2,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  <c r="Y2">
        <f t="array" ref="Y2">"היי, להלן רשימת הדירות שטרם העבירו 500 ש''ח לקופה הקטנה: " &amp; _xlfn.TEXTJOIN(", ", TRUE, _xlfn._xlws.FILTER(B2:B61, Q2:Q61&lt;&gt;500, "אין חובות - כולם שילמו!"))</f>
        <v/>
      </c>
    </row>
    <row r="3">
      <c r="A3" s="194" t="n"/>
      <c r="B3" s="116" t="n">
        <v>2</v>
      </c>
      <c r="C3" s="30" t="inlineStr">
        <is>
          <t>פיליפ אלברט</t>
        </is>
      </c>
      <c r="E3" s="137" t="n">
        <v>350</v>
      </c>
      <c r="F3" t="n">
        <v>350</v>
      </c>
      <c r="G3" t="n">
        <v>350</v>
      </c>
      <c r="H3" t="n">
        <v>350</v>
      </c>
      <c r="P3" s="29" t="n"/>
      <c r="X3">
        <f t="array" ref="X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B3, _xlpm.payments, E3:P3,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">
      <c r="A4" s="193" t="n"/>
      <c r="B4" s="37" t="n">
        <v>3</v>
      </c>
      <c r="C4" s="30" t="inlineStr">
        <is>
          <t>מנגיסטו</t>
        </is>
      </c>
      <c r="E4" s="137" t="n">
        <v>350</v>
      </c>
      <c r="F4" t="n">
        <v>350</v>
      </c>
      <c r="G4" t="n">
        <v>350</v>
      </c>
      <c r="H4" t="n">
        <v>350</v>
      </c>
      <c r="I4" t="n">
        <v>350</v>
      </c>
      <c r="O4" s="33" t="n"/>
      <c r="P4" s="29" t="n"/>
      <c r="Q4" t="n">
        <v>500</v>
      </c>
      <c r="X4">
        <f t="array" ref="X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B4, _xlpm.payments, E4:P4,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">
      <c r="A5" s="192" t="n">
        <v>2</v>
      </c>
      <c r="B5" s="44" t="n">
        <v>4</v>
      </c>
      <c r="C5" s="40" t="inlineStr">
        <is>
          <t>רומנו לינצקי</t>
        </is>
      </c>
      <c r="D5" s="41" t="n"/>
      <c r="E5" s="136" t="n">
        <v>350</v>
      </c>
      <c r="F5" s="41" t="n">
        <v>350</v>
      </c>
      <c r="G5" s="41" t="n">
        <v>350</v>
      </c>
      <c r="H5" s="41" t="n">
        <v>350</v>
      </c>
      <c r="I5" s="41" t="n">
        <v>350</v>
      </c>
      <c r="J5" s="41" t="n"/>
      <c r="K5" s="41" t="n"/>
      <c r="L5" s="41" t="n"/>
      <c r="M5" s="41" t="n"/>
      <c r="N5" s="41" t="n"/>
      <c r="O5" s="42" t="n"/>
      <c r="P5" s="42" t="n"/>
      <c r="S5" s="41" t="n"/>
      <c r="X5">
        <f t="array" ref="X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B5, _xlpm.payments, E5:P5,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">
      <c r="A6" s="194" t="n"/>
      <c r="B6" s="37" t="n">
        <v>5</v>
      </c>
      <c r="C6" s="30" t="inlineStr">
        <is>
          <t>ישראלי</t>
        </is>
      </c>
      <c r="D6" t="inlineStr">
        <is>
          <t>בר ברקת</t>
        </is>
      </c>
      <c r="E6" s="137" t="n">
        <v>350</v>
      </c>
      <c r="F6" t="n">
        <v>350</v>
      </c>
      <c r="G6" t="n">
        <v>350</v>
      </c>
      <c r="H6" t="n">
        <v>350</v>
      </c>
      <c r="I6" t="n">
        <v>350</v>
      </c>
      <c r="P6" s="29" t="n"/>
      <c r="Q6" t="n">
        <v>500</v>
      </c>
      <c r="S6" t="n">
        <v>4816413</v>
      </c>
      <c r="X6">
        <f t="array" ref="X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B6, _xlpm.payments, E6:P6,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  <c r="Y6">
        <f t="array" ref="Y6">"היי, להלן מצב הגבייה לקופה הקטנה:" &amp; CHAR(10) &amp; _xlfn.TEXTJOIN(CHAR(10), TRUE, _xlfn._xlws.FILTER("דירה " &amp; B2:B61 &amp; IF((Q2:Q61&gt;0)*(Q2:Q61&lt;500), " - חסר " &amp; (500-Q2:Q61) &amp; " ש''ח", ""), Q2:Q61&lt;500, "כולם שילמו!"))</f>
        <v/>
      </c>
    </row>
    <row r="7">
      <c r="A7" s="194" t="n"/>
      <c r="B7" s="116" t="n">
        <v>6</v>
      </c>
      <c r="C7" s="30" t="inlineStr">
        <is>
          <t>רביבו</t>
        </is>
      </c>
      <c r="E7" s="137" t="n">
        <v>350</v>
      </c>
      <c r="F7" t="n">
        <v>350</v>
      </c>
      <c r="G7" t="n">
        <v>350</v>
      </c>
      <c r="H7" t="n">
        <v>350</v>
      </c>
      <c r="P7" s="29" t="n"/>
      <c r="Q7" t="n">
        <v>500</v>
      </c>
      <c r="S7" t="n">
        <v>4177034</v>
      </c>
      <c r="X7">
        <f t="array" ref="X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B7, _xlpm.payments, E7:P7,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8">
      <c r="A8" s="194" t="n"/>
      <c r="B8" s="37" t="n">
        <v>7</v>
      </c>
      <c r="C8" s="30" t="inlineStr">
        <is>
          <t>רות וולמיר</t>
        </is>
      </c>
      <c r="E8" s="137" t="n">
        <v>350</v>
      </c>
      <c r="F8" t="n">
        <v>350</v>
      </c>
      <c r="G8" t="n">
        <v>350</v>
      </c>
      <c r="H8" t="n">
        <v>350</v>
      </c>
      <c r="I8" t="n">
        <v>350</v>
      </c>
      <c r="P8" s="29" t="n"/>
      <c r="Q8" t="n">
        <v>500</v>
      </c>
      <c r="X8">
        <f t="array" ref="X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B8, _xlpm.payments, E8:P8,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9">
      <c r="A9" s="193" t="n"/>
      <c r="B9" s="116" t="n">
        <v>8</v>
      </c>
      <c r="C9" s="30" t="inlineStr">
        <is>
          <t>לב ארי / לב-ארי / רונן / זפירה / מנגסטה יטמין</t>
        </is>
      </c>
      <c r="E9" s="137" t="n">
        <v>350</v>
      </c>
      <c r="F9" t="n">
        <v>350</v>
      </c>
      <c r="G9" t="n">
        <v>350</v>
      </c>
      <c r="H9" t="n">
        <v>350</v>
      </c>
      <c r="I9" t="n">
        <v>350</v>
      </c>
      <c r="O9" s="29" t="n"/>
      <c r="P9" s="29" t="n"/>
      <c r="X9">
        <f t="array" ref="X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B9, _xlpm.payments, E9:P9,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0">
      <c r="A10" s="192" t="n">
        <v>3</v>
      </c>
      <c r="B10" s="39" t="n">
        <v>9</v>
      </c>
      <c r="C10" s="40" t="inlineStr">
        <is>
          <t>בייבקוב</t>
        </is>
      </c>
      <c r="D10" s="41" t="n"/>
      <c r="E10" s="136" t="n">
        <v>350</v>
      </c>
      <c r="F10" s="41" t="n">
        <v>350</v>
      </c>
      <c r="G10" s="41" t="n">
        <v>350</v>
      </c>
      <c r="H10" s="41" t="n">
        <v>350</v>
      </c>
      <c r="I10" s="41" t="n">
        <v>350</v>
      </c>
      <c r="J10" s="41" t="n"/>
      <c r="K10" s="41" t="n"/>
      <c r="L10" s="41" t="n"/>
      <c r="M10" s="41" t="n"/>
      <c r="N10" s="41" t="n"/>
      <c r="O10" s="41" t="n"/>
      <c r="P10" s="42" t="n"/>
      <c r="S10" s="41" t="n"/>
      <c r="X10">
        <f t="array" ref="X1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B10, _xlpm.payments, E10:P10,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1">
      <c r="A11" s="194" t="n"/>
      <c r="B11" s="116" t="n">
        <v>10</v>
      </c>
      <c r="C11" s="30" t="inlineStr">
        <is>
          <t>לאוניד שכטמן</t>
        </is>
      </c>
      <c r="E11" s="137" t="n">
        <v>350</v>
      </c>
      <c r="F11" t="n">
        <v>350</v>
      </c>
      <c r="G11" t="n">
        <v>350</v>
      </c>
      <c r="H11" t="n">
        <v>350</v>
      </c>
      <c r="I11" t="n">
        <v>350</v>
      </c>
      <c r="P11" s="29" t="n"/>
      <c r="S11" t="n">
        <v>4590840</v>
      </c>
      <c r="X11">
        <f t="array" ref="X1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B11, _xlpm.payments, E11:P11,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2">
      <c r="A12" s="194" t="n"/>
      <c r="B12" s="37" t="n">
        <v>11</v>
      </c>
      <c r="C12" s="30" t="inlineStr">
        <is>
          <t>מירב לוי / חן לוי</t>
        </is>
      </c>
      <c r="E12" s="137" t="n">
        <v>350</v>
      </c>
      <c r="F12" t="n">
        <v>350</v>
      </c>
      <c r="G12" t="n">
        <v>350</v>
      </c>
      <c r="H12" t="n">
        <v>350</v>
      </c>
      <c r="P12" s="29" t="n"/>
      <c r="Q12" t="n">
        <v>500</v>
      </c>
      <c r="S12" s="117" t="n">
        <v>4795693</v>
      </c>
      <c r="X12">
        <f t="array" ref="X1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B12, _xlpm.payments, E12:P12,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3">
      <c r="A13" s="194" t="n"/>
      <c r="B13" s="116" t="n">
        <v>12</v>
      </c>
      <c r="C13" s="30" t="inlineStr">
        <is>
          <t>ברייב יולי / אלירן מנצור</t>
        </is>
      </c>
      <c r="E13" s="137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30</v>
      </c>
      <c r="K13" t="n">
        <v>30</v>
      </c>
      <c r="L13" t="n">
        <v>30</v>
      </c>
      <c r="M13" t="n">
        <v>30</v>
      </c>
      <c r="N13" t="n">
        <v>30</v>
      </c>
      <c r="O13" t="n">
        <v>30</v>
      </c>
      <c r="P13" s="29" t="n">
        <v>30</v>
      </c>
      <c r="Q13" t="n">
        <v>500</v>
      </c>
      <c r="X13">
        <f t="array" ref="X1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B13, _xlpm.payments, E13:P13,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4">
      <c r="A14" s="193" t="n"/>
      <c r="B14" s="37" t="n">
        <v>13</v>
      </c>
      <c r="C14" s="30" t="inlineStr">
        <is>
          <t>בכר</t>
        </is>
      </c>
      <c r="E14" s="137" t="n">
        <v>350</v>
      </c>
      <c r="F14" t="n">
        <v>350</v>
      </c>
      <c r="G14" t="n">
        <v>350</v>
      </c>
      <c r="H14" t="n">
        <v>350</v>
      </c>
      <c r="P14" s="29" t="n"/>
      <c r="X14">
        <f t="array" ref="X1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B14, _xlpm.payments, E14:P14,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5">
      <c r="A15" s="192" t="n">
        <v>4</v>
      </c>
      <c r="B15" s="44" t="n">
        <v>14</v>
      </c>
      <c r="C15" s="40" t="inlineStr">
        <is>
          <t>ירין חיים</t>
        </is>
      </c>
      <c r="D15" s="41" t="inlineStr">
        <is>
          <t>דניס סיידר</t>
        </is>
      </c>
      <c r="E15" s="136" t="n">
        <v>350</v>
      </c>
      <c r="F15" s="41" t="n">
        <v>350</v>
      </c>
      <c r="G15" s="41" t="n">
        <v>350</v>
      </c>
      <c r="H15" s="41" t="n">
        <v>350</v>
      </c>
      <c r="I15" s="41" t="n"/>
      <c r="J15" s="41" t="n"/>
      <c r="K15" s="41" t="n"/>
      <c r="L15" s="41" t="n"/>
      <c r="M15" s="41" t="n"/>
      <c r="N15" s="41" t="n"/>
      <c r="O15" s="41" t="n"/>
      <c r="P15" s="42" t="n"/>
      <c r="S15" s="41" t="n"/>
      <c r="X15">
        <f t="array" ref="X1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B15, _xlpm.payments, E15:P15,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6">
      <c r="A16" s="194" t="n"/>
      <c r="B16" s="37" t="n">
        <v>15</v>
      </c>
      <c r="C16" s="30" t="inlineStr">
        <is>
          <t>כהן אביאל</t>
        </is>
      </c>
      <c r="E16" s="137" t="n">
        <v>350</v>
      </c>
      <c r="F16" t="n">
        <v>350</v>
      </c>
      <c r="G16" t="n">
        <v>350</v>
      </c>
      <c r="H16" t="n">
        <v>350</v>
      </c>
      <c r="I16" t="n">
        <v>350</v>
      </c>
      <c r="P16" s="29" t="n"/>
      <c r="Q16" t="n">
        <v>500</v>
      </c>
      <c r="X16">
        <f t="array" ref="X1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B16, _xlpm.payments, E16:P16,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7">
      <c r="A17" s="194" t="n"/>
      <c r="B17" s="116" t="n">
        <v>16</v>
      </c>
      <c r="C17" s="30" t="inlineStr">
        <is>
          <t>מקייס סאספורתס</t>
        </is>
      </c>
      <c r="E17" s="137" t="n">
        <v>350</v>
      </c>
      <c r="F17" t="n">
        <v>350</v>
      </c>
      <c r="G17" t="n">
        <v>350</v>
      </c>
      <c r="H17" t="n">
        <v>350</v>
      </c>
      <c r="P17" s="29" t="n"/>
      <c r="Q17" t="n">
        <v>500</v>
      </c>
      <c r="X17">
        <f t="array" ref="X1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B17, _xlpm.payments, E17:P17,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8">
      <c r="A18" s="194" t="n"/>
      <c r="B18" s="116" t="n">
        <v>17</v>
      </c>
      <c r="C18" s="30" t="inlineStr">
        <is>
          <t>גבי שובל</t>
        </is>
      </c>
      <c r="E18" s="137" t="n">
        <v>350</v>
      </c>
      <c r="F18" t="n">
        <v>350</v>
      </c>
      <c r="G18" t="n">
        <v>350</v>
      </c>
      <c r="H18" t="n">
        <v>350</v>
      </c>
      <c r="O18" s="124" t="n"/>
      <c r="P18" s="131" t="n"/>
      <c r="Q18" t="n">
        <v>500</v>
      </c>
      <c r="X18">
        <f t="array" ref="X1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B18, _xlpm.payments, E18:P18,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9">
      <c r="A19" s="193" t="n"/>
      <c r="B19" s="116" t="n">
        <v>18</v>
      </c>
      <c r="C19" s="30" t="inlineStr">
        <is>
          <t>מישייב רגינה / לגסה סיטוטאו</t>
        </is>
      </c>
      <c r="D19" t="inlineStr">
        <is>
          <t>רזניק</t>
        </is>
      </c>
      <c r="E19" s="137" t="n">
        <v>350</v>
      </c>
      <c r="F19" t="n">
        <v>350</v>
      </c>
      <c r="G19" t="n">
        <v>350</v>
      </c>
      <c r="H19" t="n">
        <v>350</v>
      </c>
      <c r="O19" s="29" t="n"/>
      <c r="P19" s="29" t="n"/>
      <c r="Q19" t="n">
        <v>500</v>
      </c>
      <c r="X19">
        <f t="array" ref="X1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B19, _xlpm.payments, E19:P19,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0">
      <c r="A20" s="192" t="n">
        <v>5</v>
      </c>
      <c r="B20" s="44" t="n">
        <v>19</v>
      </c>
      <c r="C20" s="40" t="inlineStr">
        <is>
          <t>פקרסקי</t>
        </is>
      </c>
      <c r="D20" s="41" t="n"/>
      <c r="E20" s="138" t="n"/>
      <c r="F20" s="45" t="n"/>
      <c r="G20" s="45" t="n"/>
      <c r="H20" s="45" t="n"/>
      <c r="I20" s="45" t="n"/>
      <c r="J20" s="45" t="n"/>
      <c r="K20" s="45" t="n"/>
      <c r="L20" s="45" t="n"/>
      <c r="M20" s="45" t="n"/>
      <c r="N20" s="45" t="n"/>
      <c r="O20" s="45" t="n"/>
      <c r="P20" s="46" t="n"/>
      <c r="Q20" t="n">
        <v>350</v>
      </c>
      <c r="S20" s="41" t="n"/>
      <c r="X20">
        <f t="array" ref="X2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B20, _xlpm.payments, E20:P20,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1">
      <c r="A21" s="194" t="n"/>
      <c r="B21" s="116" t="n">
        <v>20</v>
      </c>
      <c r="C21" s="30" t="inlineStr">
        <is>
          <t>פרחי נדב שי</t>
        </is>
      </c>
      <c r="E21" s="137" t="n">
        <v>350</v>
      </c>
      <c r="F21" t="n">
        <v>350</v>
      </c>
      <c r="G21" t="n">
        <v>350</v>
      </c>
      <c r="H21" t="n">
        <v>350</v>
      </c>
      <c r="P21" s="29" t="n"/>
      <c r="X21">
        <f t="array" ref="X2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B21, _xlpm.payments, E21:P21,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2" ht="13.5" customHeight="1" s="197">
      <c r="A22" s="194" t="n"/>
      <c r="B22" s="116" t="n">
        <v>21</v>
      </c>
      <c r="C22" s="30" t="inlineStr">
        <is>
          <t>סימקין טרוסטיאני</t>
        </is>
      </c>
      <c r="E22" s="137" t="n">
        <v>350</v>
      </c>
      <c r="F22" t="n">
        <v>350</v>
      </c>
      <c r="G22" t="n">
        <v>350</v>
      </c>
      <c r="H22" t="n">
        <v>350</v>
      </c>
      <c r="I22" t="n">
        <v>350</v>
      </c>
      <c r="P22" s="29" t="n"/>
      <c r="Q22" t="n">
        <v>500</v>
      </c>
      <c r="X22">
        <f t="array" ref="X2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B22, _xlpm.payments, E22:P22,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3">
      <c r="A23" s="194" t="n"/>
      <c r="B23" s="116" t="n">
        <v>22</v>
      </c>
      <c r="C23" s="30" t="inlineStr">
        <is>
          <t>סוזאנה שושנה</t>
        </is>
      </c>
      <c r="E23" s="137" t="n">
        <v>350</v>
      </c>
      <c r="F23" t="n">
        <v>350</v>
      </c>
      <c r="G23" t="n">
        <v>350</v>
      </c>
      <c r="H23" t="n">
        <v>350</v>
      </c>
      <c r="P23" s="29" t="n"/>
      <c r="Q23" t="n">
        <v>200</v>
      </c>
      <c r="X23">
        <f t="array" ref="X2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B23, _xlpm.payments, E23:P23,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4">
      <c r="A24" s="193" t="n"/>
      <c r="B24" s="116" t="n">
        <v>23</v>
      </c>
      <c r="C24" s="30" t="inlineStr">
        <is>
          <t>ממן אושרי</t>
        </is>
      </c>
      <c r="E24" s="137" t="n">
        <v>350</v>
      </c>
      <c r="F24" t="n">
        <v>350</v>
      </c>
      <c r="G24" t="n">
        <v>350</v>
      </c>
      <c r="H24" t="n">
        <v>350</v>
      </c>
      <c r="P24" s="29" t="n"/>
      <c r="Q24" t="n">
        <v>500</v>
      </c>
      <c r="X24">
        <f t="array" ref="X2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B24, _xlpm.payments, E24:P24,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5">
      <c r="A25" s="192" t="n">
        <v>6</v>
      </c>
      <c r="B25" s="44" t="n">
        <v>24</v>
      </c>
      <c r="C25" s="40" t="inlineStr">
        <is>
          <t>לב משה</t>
        </is>
      </c>
      <c r="D25" s="41" t="n"/>
      <c r="E25" s="136" t="n">
        <v>350</v>
      </c>
      <c r="F25" s="41" t="n">
        <v>350</v>
      </c>
      <c r="G25" s="41" t="n">
        <v>350</v>
      </c>
      <c r="H25" s="41" t="n">
        <v>350</v>
      </c>
      <c r="I25" s="41" t="n"/>
      <c r="J25" s="41" t="n"/>
      <c r="K25" s="41" t="n"/>
      <c r="L25" s="41" t="n"/>
      <c r="M25" s="41" t="n"/>
      <c r="N25" s="41" t="n"/>
      <c r="O25" s="41" t="n"/>
      <c r="P25" s="42" t="n"/>
      <c r="Q25" t="n">
        <v>500</v>
      </c>
      <c r="S25" s="41" t="n"/>
      <c r="X25">
        <f t="array" ref="X2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B25, _xlpm.payments, E25:P25,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6" ht="15.75" customHeight="1" s="197">
      <c r="A26" s="194" t="n"/>
      <c r="B26" s="116" t="n">
        <v>25</v>
      </c>
      <c r="C26" s="113" t="inlineStr">
        <is>
          <t xml:space="preserve"> דון דז'נשבילי / כחלון שלו</t>
        </is>
      </c>
      <c r="D26" t="inlineStr">
        <is>
          <t>בן לולו מרדכי</t>
        </is>
      </c>
      <c r="E26" s="137" t="n">
        <v>350</v>
      </c>
      <c r="F26" t="n">
        <v>350</v>
      </c>
      <c r="G26" t="n">
        <v>350</v>
      </c>
      <c r="H26" s="33" t="n">
        <v>350</v>
      </c>
      <c r="I26" t="n">
        <v>350</v>
      </c>
      <c r="P26" s="29" t="n"/>
      <c r="Q26" t="n">
        <v>500</v>
      </c>
      <c r="X26">
        <f t="array" ref="X2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B26, _xlpm.payments, E26:P26,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7">
      <c r="A27" s="194" t="n"/>
      <c r="B27" s="116" t="n">
        <v>26</v>
      </c>
      <c r="C27" s="30" t="inlineStr">
        <is>
          <t>שוורץ</t>
        </is>
      </c>
      <c r="E27" s="139" t="n"/>
      <c r="F27" s="31" t="n"/>
      <c r="G27" s="31" t="n"/>
      <c r="H27" s="31" t="n"/>
      <c r="I27" s="31" t="n"/>
      <c r="J27" s="31" t="n"/>
      <c r="K27" s="31" t="n"/>
      <c r="L27" s="31" t="n"/>
      <c r="M27" s="31" t="n"/>
      <c r="N27" s="31" t="n"/>
      <c r="O27" s="31" t="n"/>
      <c r="P27" s="32" t="n"/>
      <c r="Q27" t="n">
        <v>500</v>
      </c>
      <c r="X27">
        <f t="array" ref="X2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B27, _xlpm.payments, E27:P27,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8">
      <c r="A28" s="194" t="n"/>
      <c r="B28" s="116" t="n">
        <v>27</v>
      </c>
      <c r="C28" s="30" t="inlineStr">
        <is>
          <t>אליזבט בינשטוק</t>
        </is>
      </c>
      <c r="E28" s="137" t="n">
        <v>350</v>
      </c>
      <c r="F28" t="n">
        <v>350</v>
      </c>
      <c r="G28" t="n">
        <v>350</v>
      </c>
      <c r="H28" t="n">
        <v>350</v>
      </c>
      <c r="I28" t="n">
        <v>350</v>
      </c>
      <c r="P28" s="29" t="n"/>
      <c r="Q28" t="n">
        <v>500</v>
      </c>
      <c r="S28" t="n">
        <v>4696863</v>
      </c>
      <c r="X28">
        <f t="array" ref="X2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B28, _xlpm.payments, E28:P28,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9">
      <c r="A29" s="193" t="n"/>
      <c r="B29" s="116" t="n">
        <v>28</v>
      </c>
      <c r="C29" s="30" t="inlineStr">
        <is>
          <t>וולושין אלכסנדר</t>
        </is>
      </c>
      <c r="E29" s="137" t="n">
        <v>350</v>
      </c>
      <c r="F29" t="n">
        <v>350</v>
      </c>
      <c r="G29" t="n">
        <v>350</v>
      </c>
      <c r="H29" t="n">
        <v>350</v>
      </c>
      <c r="I29" t="n">
        <v>350</v>
      </c>
      <c r="O29" s="33" t="n"/>
      <c r="P29" s="29" t="n"/>
      <c r="Q29" t="n">
        <v>500</v>
      </c>
      <c r="S29" s="117" t="n">
        <v>4832180</v>
      </c>
      <c r="X29">
        <f t="array" ref="X2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B29, _xlpm.payments, E29:P29,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0">
      <c r="A30" s="192" t="n">
        <v>7</v>
      </c>
      <c r="B30" s="44" t="n">
        <v>29</v>
      </c>
      <c r="C30" s="40" t="inlineStr">
        <is>
          <t>קשר ספורט</t>
        </is>
      </c>
      <c r="D30" s="41" t="inlineStr">
        <is>
          <t>לואי הזימה</t>
        </is>
      </c>
      <c r="E30" s="136" t="n">
        <v>350</v>
      </c>
      <c r="F30" s="41" t="n">
        <v>350</v>
      </c>
      <c r="G30" s="41" t="n">
        <v>350</v>
      </c>
      <c r="H30" s="41" t="n">
        <v>350</v>
      </c>
      <c r="I30" s="41" t="n">
        <v>350</v>
      </c>
      <c r="J30" s="41" t="n">
        <v>350</v>
      </c>
      <c r="K30" s="41" t="n"/>
      <c r="L30" s="41" t="n"/>
      <c r="M30" s="41" t="n"/>
      <c r="N30" s="41" t="n"/>
      <c r="O30" s="125" t="n"/>
      <c r="P30" s="132" t="n"/>
      <c r="Q30" t="n">
        <v>500</v>
      </c>
      <c r="S30" s="41" t="n"/>
      <c r="X30">
        <f t="array" ref="X3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B30, _xlpm.payments, E30:P30,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1">
      <c r="A31" s="194" t="n"/>
      <c r="B31" s="116" t="n">
        <v>30</v>
      </c>
      <c r="C31" s="30" t="inlineStr">
        <is>
          <t>מזרחי / אסולין יעקב</t>
        </is>
      </c>
      <c r="E31" s="137" t="n">
        <v>350</v>
      </c>
      <c r="F31" t="n">
        <v>350</v>
      </c>
      <c r="G31" t="n">
        <v>350</v>
      </c>
      <c r="H31" t="n">
        <v>350</v>
      </c>
      <c r="I31" t="n">
        <v>350</v>
      </c>
      <c r="O31" s="124" t="n"/>
      <c r="P31" s="131" t="n"/>
      <c r="Q31" t="n">
        <v>500</v>
      </c>
      <c r="X31">
        <f t="array" ref="X3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B31, _xlpm.payments, E31:P31,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2">
      <c r="A32" s="194" t="n"/>
      <c r="B32" s="116" t="n">
        <v>31</v>
      </c>
      <c r="C32" s="30" t="inlineStr">
        <is>
          <t>זאדה הודיה</t>
        </is>
      </c>
      <c r="E32" s="137" t="n">
        <v>350</v>
      </c>
      <c r="F32" t="n">
        <v>350</v>
      </c>
      <c r="G32" t="n">
        <v>350</v>
      </c>
      <c r="H32" t="n">
        <v>350</v>
      </c>
      <c r="I32" t="n">
        <v>350</v>
      </c>
      <c r="P32" s="29" t="n"/>
      <c r="Q32" t="n">
        <v>500</v>
      </c>
      <c r="X32">
        <f t="array" ref="X3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B32, _xlpm.payments, E32:P32,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3">
      <c r="A33" s="194" t="n"/>
      <c r="B33" s="116" t="n">
        <v>32</v>
      </c>
      <c r="C33" s="30" t="inlineStr">
        <is>
          <t>ריזק</t>
        </is>
      </c>
      <c r="E33" s="137" t="n">
        <v>350</v>
      </c>
      <c r="F33" t="n">
        <v>350</v>
      </c>
      <c r="G33" t="n">
        <v>350</v>
      </c>
      <c r="H33" t="n">
        <v>350</v>
      </c>
      <c r="I33" t="n">
        <v>350</v>
      </c>
      <c r="P33" s="29" t="n"/>
      <c r="Q33" t="n">
        <v>500</v>
      </c>
      <c r="S33" t="n">
        <v>4684245</v>
      </c>
      <c r="X33">
        <f t="array" ref="X3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B33, _xlpm.payments, E33:P33,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4">
      <c r="A34" s="193" t="n"/>
      <c r="B34" s="116" t="n">
        <v>33</v>
      </c>
      <c r="C34" s="30" t="inlineStr">
        <is>
          <t>וילצר</t>
        </is>
      </c>
      <c r="E34" s="139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2" t="n"/>
      <c r="Q34" t="n">
        <v>500</v>
      </c>
      <c r="X34">
        <f t="array" ref="X3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B34, _xlpm.payments, E34:P34,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5">
      <c r="A35" s="192" t="n">
        <v>8</v>
      </c>
      <c r="B35" s="44" t="n">
        <v>34</v>
      </c>
      <c r="C35" s="40" t="inlineStr">
        <is>
          <t>סיגלוב דימיטרי</t>
        </is>
      </c>
      <c r="D35" s="41" t="n"/>
      <c r="E35" s="136" t="n">
        <v>350</v>
      </c>
      <c r="F35" s="41" t="n">
        <v>350</v>
      </c>
      <c r="G35" s="41" t="n">
        <v>350</v>
      </c>
      <c r="H35" s="41" t="n">
        <v>350</v>
      </c>
      <c r="I35" s="41" t="n"/>
      <c r="J35" s="41" t="n"/>
      <c r="K35" s="41" t="n"/>
      <c r="L35" s="41" t="n"/>
      <c r="M35" s="41" t="n"/>
      <c r="N35" s="41" t="n"/>
      <c r="O35" s="41" t="n"/>
      <c r="P35" s="42" t="n"/>
      <c r="Q35" t="n">
        <v>500</v>
      </c>
      <c r="S35" s="41" t="n"/>
      <c r="X35">
        <f t="array" ref="X3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B35, _xlpm.payments, E35:P35,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6">
      <c r="A36" s="194" t="n"/>
      <c r="B36" s="116" t="n">
        <v>35</v>
      </c>
      <c r="C36" s="30" t="inlineStr">
        <is>
          <t>גלמן אירינה</t>
        </is>
      </c>
      <c r="E36" s="137" t="n">
        <v>350</v>
      </c>
      <c r="F36" t="n">
        <v>350</v>
      </c>
      <c r="G36" t="n">
        <v>350</v>
      </c>
      <c r="H36" t="n">
        <v>350</v>
      </c>
      <c r="P36" s="29" t="n"/>
      <c r="Q36" t="n">
        <v>500</v>
      </c>
      <c r="S36" s="117" t="n">
        <v>4775354</v>
      </c>
      <c r="X36">
        <f t="array" ref="X3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B36, _xlpm.payments, E36:P36,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7">
      <c r="A37" s="194" t="n"/>
      <c r="B37" s="116" t="n">
        <v>36</v>
      </c>
      <c r="C37" s="30" t="inlineStr">
        <is>
          <t>יונה חמד</t>
        </is>
      </c>
      <c r="E37" s="137" t="n">
        <v>350</v>
      </c>
      <c r="F37" t="n">
        <v>350</v>
      </c>
      <c r="G37" t="n">
        <v>350</v>
      </c>
      <c r="H37" t="n">
        <v>350</v>
      </c>
      <c r="P37" s="29" t="n"/>
      <c r="X37">
        <f t="array" ref="X3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B37, _xlpm.payments, E37:P37,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8">
      <c r="A38" s="194" t="n"/>
      <c r="B38" s="116" t="n">
        <v>37</v>
      </c>
      <c r="C38" s="30" t="inlineStr">
        <is>
          <t>חיון / ספיר אלון / מהרי פקדה</t>
        </is>
      </c>
      <c r="D38" t="inlineStr">
        <is>
          <t>קליגר אדוארד</t>
        </is>
      </c>
      <c r="E38" s="137" t="n">
        <v>350</v>
      </c>
      <c r="F38" t="n">
        <v>350</v>
      </c>
      <c r="G38" t="n">
        <v>350</v>
      </c>
      <c r="P38" s="29" t="n"/>
      <c r="X38">
        <f t="array" ref="X3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B38, _xlpm.payments, E38:P38,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9">
      <c r="A39" s="193" t="n"/>
      <c r="B39" s="116" t="n">
        <v>38</v>
      </c>
      <c r="C39" s="30" t="inlineStr">
        <is>
          <t>ברכה</t>
        </is>
      </c>
      <c r="E39" s="139" t="n"/>
      <c r="F39" s="31" t="n"/>
      <c r="G39" s="31" t="n"/>
      <c r="H39" s="31" t="n"/>
      <c r="I39" s="31" t="n"/>
      <c r="J39" s="31" t="n"/>
      <c r="K39" s="31" t="n"/>
      <c r="L39" s="31" t="n"/>
      <c r="M39" s="31" t="n"/>
      <c r="N39" s="31" t="n"/>
      <c r="O39" s="31" t="n"/>
      <c r="P39" s="32" t="n"/>
      <c r="X39">
        <f t="array" ref="X3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B39, _xlpm.payments, E39:P39,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0">
      <c r="A40" s="192" t="n">
        <v>9</v>
      </c>
      <c r="B40" s="44" t="n">
        <v>39</v>
      </c>
      <c r="C40" s="40" t="inlineStr">
        <is>
          <t>פריידמן נטליה</t>
        </is>
      </c>
      <c r="D40" s="41" t="n"/>
      <c r="E40" s="136" t="n">
        <v>350</v>
      </c>
      <c r="F40" s="41" t="n">
        <v>350</v>
      </c>
      <c r="G40" s="41" t="n">
        <v>350</v>
      </c>
      <c r="H40" s="41" t="n">
        <v>350</v>
      </c>
      <c r="I40" s="41" t="n">
        <v>350</v>
      </c>
      <c r="J40" s="41" t="n"/>
      <c r="K40" s="41" t="n"/>
      <c r="L40" s="41" t="n"/>
      <c r="M40" s="41" t="n"/>
      <c r="N40" s="41" t="n"/>
      <c r="O40" s="41" t="n"/>
      <c r="P40" s="42" t="n"/>
      <c r="Q40" t="n">
        <v>500</v>
      </c>
      <c r="S40" s="41" t="n">
        <v>4668970</v>
      </c>
      <c r="X40">
        <f t="array" ref="X4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B40, _xlpm.payments, E40:P40,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1">
      <c r="A41" s="194" t="n"/>
      <c r="B41" s="116" t="n">
        <v>40</v>
      </c>
      <c r="C41" s="30" t="inlineStr">
        <is>
          <t>אסרף אורטל</t>
        </is>
      </c>
      <c r="E41" s="137" t="n">
        <v>350</v>
      </c>
      <c r="F41" t="n">
        <v>350</v>
      </c>
      <c r="G41" t="n">
        <v>350</v>
      </c>
      <c r="H41" t="n">
        <v>350</v>
      </c>
      <c r="I41" t="n">
        <v>350</v>
      </c>
      <c r="J41" t="n">
        <v>30</v>
      </c>
      <c r="K41" t="n">
        <v>30</v>
      </c>
      <c r="L41" t="n">
        <v>30</v>
      </c>
      <c r="M41" t="n">
        <v>30</v>
      </c>
      <c r="N41" t="n">
        <v>30</v>
      </c>
      <c r="O41" s="33" t="n"/>
      <c r="P41" s="29" t="n"/>
      <c r="Q41" t="n">
        <v>500</v>
      </c>
      <c r="X41">
        <f t="array" ref="X4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B41, _xlpm.payments, E41:P41,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2">
      <c r="A42" s="194" t="n"/>
      <c r="B42" s="116" t="n">
        <v>41</v>
      </c>
      <c r="C42" s="30" t="inlineStr">
        <is>
          <t>רועי בן שושן</t>
        </is>
      </c>
      <c r="E42" s="137" t="n">
        <v>350</v>
      </c>
      <c r="F42" t="n">
        <v>350</v>
      </c>
      <c r="G42" t="n">
        <v>350</v>
      </c>
      <c r="H42" t="n">
        <v>350</v>
      </c>
      <c r="I42" t="n">
        <v>350</v>
      </c>
      <c r="P42" s="29" t="n"/>
      <c r="X42">
        <f t="array" ref="X4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B42, _xlpm.payments, E42:P42,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3">
      <c r="A43" s="194" t="n"/>
      <c r="B43" s="116" t="n">
        <v>42</v>
      </c>
      <c r="C43" s="30" t="inlineStr">
        <is>
          <t>זלץ</t>
        </is>
      </c>
      <c r="E43" s="137" t="n">
        <v>350</v>
      </c>
      <c r="F43" t="n">
        <v>350</v>
      </c>
      <c r="G43" t="n">
        <v>350</v>
      </c>
      <c r="H43" t="n">
        <v>350</v>
      </c>
      <c r="I43" t="n">
        <v>350</v>
      </c>
      <c r="P43" s="29" t="n"/>
      <c r="X43">
        <f t="array" ref="X4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B43, _xlpm.payments, E43:P43,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4">
      <c r="A44" s="193" t="n"/>
      <c r="B44" s="116" t="n">
        <v>43</v>
      </c>
      <c r="C44" s="30" t="inlineStr">
        <is>
          <t>שליאק</t>
        </is>
      </c>
      <c r="E44" s="137" t="n">
        <v>350</v>
      </c>
      <c r="F44" t="n">
        <v>350</v>
      </c>
      <c r="G44" t="n">
        <v>350</v>
      </c>
      <c r="H44" t="n">
        <v>350</v>
      </c>
      <c r="I44" t="n">
        <v>350</v>
      </c>
      <c r="P44" s="29" t="n"/>
      <c r="Q44" t="n">
        <v>500</v>
      </c>
      <c r="S44" s="117" t="n">
        <v>4789577</v>
      </c>
      <c r="X44">
        <f t="array" ref="X4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B44, _xlpm.payments, E44:P44,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5">
      <c r="A45" s="192" t="n">
        <v>10</v>
      </c>
      <c r="B45" s="44" t="n">
        <v>44</v>
      </c>
      <c r="C45" s="40" t="inlineStr">
        <is>
          <t>צ'רניאק בוריס</t>
        </is>
      </c>
      <c r="D45" s="41" t="n"/>
      <c r="E45" s="136" t="n">
        <v>350</v>
      </c>
      <c r="F45" s="41" t="n">
        <v>350</v>
      </c>
      <c r="G45" s="41" t="n">
        <v>350</v>
      </c>
      <c r="H45" s="41" t="n">
        <v>350</v>
      </c>
      <c r="I45" s="41" t="n">
        <v>350</v>
      </c>
      <c r="J45" s="41" t="n"/>
      <c r="K45" s="41" t="n"/>
      <c r="L45" s="41" t="n"/>
      <c r="M45" s="41" t="n"/>
      <c r="N45" s="41" t="n"/>
      <c r="O45" s="41" t="n"/>
      <c r="P45" s="42" t="n"/>
      <c r="Q45" t="n">
        <v>500</v>
      </c>
      <c r="S45" s="41" t="n"/>
      <c r="X45">
        <f t="array" ref="X4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B45, _xlpm.payments, E45:P45,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6">
      <c r="A46" s="194" t="n"/>
      <c r="B46" s="116" t="n">
        <v>45</v>
      </c>
      <c r="C46" s="30" t="inlineStr">
        <is>
          <t>אלינה סגל / לאוניד סיגל (מנוח) / טטיאנה סיגל</t>
        </is>
      </c>
      <c r="E46" s="137" t="n">
        <v>350</v>
      </c>
      <c r="F46" t="n">
        <v>350</v>
      </c>
      <c r="G46" t="n">
        <v>350</v>
      </c>
      <c r="H46" t="n">
        <v>350</v>
      </c>
      <c r="P46" s="29" t="n"/>
      <c r="Q46" s="33" t="n">
        <v>500</v>
      </c>
      <c r="S46" t="n">
        <v>4727351</v>
      </c>
      <c r="X46">
        <f t="array" ref="X4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B46, _xlpm.payments, E46:P46,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7">
      <c r="A47" s="194" t="n"/>
      <c r="B47" s="116" t="n">
        <v>46</v>
      </c>
      <c r="C47" s="30" t="inlineStr">
        <is>
          <t>קוטיגרו מיכאל</t>
        </is>
      </c>
      <c r="E47" s="137" t="n">
        <v>350</v>
      </c>
      <c r="F47" t="n">
        <v>350</v>
      </c>
      <c r="G47" t="n">
        <v>350</v>
      </c>
      <c r="H47" t="n">
        <v>350</v>
      </c>
      <c r="I47" t="n">
        <v>350</v>
      </c>
      <c r="P47" s="29" t="n"/>
      <c r="Q47" t="n">
        <v>500</v>
      </c>
      <c r="S47" t="n">
        <v>4512636</v>
      </c>
      <c r="X47">
        <f t="array" ref="X4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B47, _xlpm.payments, E47:P47,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8">
      <c r="A48" s="194" t="n"/>
      <c r="B48" s="116" t="n">
        <v>47</v>
      </c>
      <c r="C48" s="30" t="inlineStr">
        <is>
          <t>משה דדון</t>
        </is>
      </c>
      <c r="E48" s="144" t="n">
        <v>350</v>
      </c>
      <c r="F48" s="145" t="n">
        <v>350</v>
      </c>
      <c r="G48" s="145" t="n">
        <v>350</v>
      </c>
      <c r="H48" s="145" t="n">
        <v>350</v>
      </c>
      <c r="I48" s="145" t="n">
        <v>350</v>
      </c>
      <c r="J48" s="145" t="n">
        <v>350</v>
      </c>
      <c r="K48" s="145" t="n">
        <v>350</v>
      </c>
      <c r="L48" s="145" t="n">
        <v>350</v>
      </c>
      <c r="M48" s="145" t="n">
        <v>350</v>
      </c>
      <c r="N48" s="145" t="n">
        <v>350</v>
      </c>
      <c r="O48" s="145" t="n">
        <v>350</v>
      </c>
      <c r="P48" s="146" t="n">
        <v>350</v>
      </c>
      <c r="Q48" t="n">
        <v>500</v>
      </c>
      <c r="R48" t="inlineStr">
        <is>
          <t>שילם מזומן לכל השנה</t>
        </is>
      </c>
      <c r="S48" t="n">
        <v>4514854</v>
      </c>
      <c r="X48">
        <f t="array" ref="X4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B48, _xlpm.payments, E48:P48,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9">
      <c r="A49" s="193" t="n"/>
      <c r="B49" s="116" t="n">
        <v>48</v>
      </c>
      <c r="C49" s="30" t="inlineStr">
        <is>
          <t>רובקין מרגריטה</t>
        </is>
      </c>
      <c r="E49" s="137" t="n">
        <v>350</v>
      </c>
      <c r="F49" t="n">
        <v>350</v>
      </c>
      <c r="G49" t="n">
        <v>350</v>
      </c>
      <c r="H49" t="n">
        <v>350</v>
      </c>
      <c r="P49" s="29" t="n"/>
      <c r="Q49" t="n">
        <v>500</v>
      </c>
      <c r="X49">
        <f t="array" ref="X4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B49, _xlpm.payments, E49:P49,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0">
      <c r="A50" s="192" t="n">
        <v>11</v>
      </c>
      <c r="B50" s="44" t="n">
        <v>49</v>
      </c>
      <c r="C50" s="40" t="inlineStr">
        <is>
          <t>ברנר</t>
        </is>
      </c>
      <c r="D50" s="41" t="inlineStr">
        <is>
          <t>קוסובסקי מור</t>
        </is>
      </c>
      <c r="E50" s="136" t="n">
        <v>350</v>
      </c>
      <c r="F50" s="41" t="n">
        <v>350</v>
      </c>
      <c r="G50" s="41" t="n">
        <v>350</v>
      </c>
      <c r="H50" s="41" t="n">
        <v>350</v>
      </c>
      <c r="I50" s="41" t="n"/>
      <c r="J50" s="41" t="n"/>
      <c r="K50" s="41" t="n"/>
      <c r="L50" s="41" t="n"/>
      <c r="M50" s="41" t="n"/>
      <c r="N50" s="41" t="n"/>
      <c r="O50" s="41" t="n"/>
      <c r="P50" s="42" t="n"/>
      <c r="R50" t="inlineStr">
        <is>
          <t>הו"ק ב29 לכל חודש</t>
        </is>
      </c>
      <c r="S50" s="118" t="n">
        <v>4837872</v>
      </c>
      <c r="X50">
        <f t="array" ref="X5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B50, _xlpm.payments, E50:P50,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1">
      <c r="A51" s="194" t="n"/>
      <c r="B51" s="116" t="n">
        <v>50</v>
      </c>
      <c r="C51" s="30" t="inlineStr">
        <is>
          <t>מיכאל / אופליה זבולונוב / זבוליוב</t>
        </is>
      </c>
      <c r="E51" s="142" t="n">
        <v>320</v>
      </c>
      <c r="F51" t="n">
        <v>350</v>
      </c>
      <c r="G51" t="n">
        <v>350</v>
      </c>
      <c r="H51" t="n">
        <v>350</v>
      </c>
      <c r="O51" s="124" t="n"/>
      <c r="P51" s="131" t="n"/>
      <c r="R51" t="inlineStr">
        <is>
          <t>חוב נוב + דצ +ינו 30X3 שקל</t>
        </is>
      </c>
      <c r="S51" t="n">
        <v>4509096</v>
      </c>
      <c r="X51">
        <f t="array" ref="X5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B51, _xlpm.payments, E51:P51,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2">
      <c r="A52" s="194" t="n"/>
      <c r="B52" s="116" t="n">
        <v>51</v>
      </c>
      <c r="C52" s="30" t="inlineStr">
        <is>
          <t>אריסון / קטרין קוט / אייל לוי</t>
        </is>
      </c>
      <c r="D52" t="inlineStr">
        <is>
          <t>אייל לוי בונה</t>
        </is>
      </c>
      <c r="E52" s="137" t="n">
        <v>350</v>
      </c>
      <c r="F52" t="n">
        <v>350</v>
      </c>
      <c r="G52" t="n">
        <v>350</v>
      </c>
      <c r="H52" t="n">
        <v>350</v>
      </c>
      <c r="P52" s="29" t="n"/>
      <c r="S52" t="n">
        <v>4691410</v>
      </c>
      <c r="X52">
        <f t="array" ref="X5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B52, _xlpm.payments, E52:P52,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3">
      <c r="A53" s="194" t="n"/>
      <c r="B53" s="116" t="n">
        <v>52</v>
      </c>
      <c r="C53" s="30" t="inlineStr">
        <is>
          <t>פולונסקי</t>
        </is>
      </c>
      <c r="E53" s="137" t="n">
        <v>350</v>
      </c>
      <c r="F53" t="n">
        <v>350</v>
      </c>
      <c r="G53" t="n">
        <v>350</v>
      </c>
      <c r="H53" t="n">
        <v>350</v>
      </c>
      <c r="I53" t="n">
        <v>350</v>
      </c>
      <c r="P53" s="29" t="n"/>
      <c r="Q53" t="n">
        <v>500</v>
      </c>
      <c r="X53">
        <f t="array" ref="X5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B53, _xlpm.payments, E53:P53,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4">
      <c r="A54" s="193" t="n"/>
      <c r="B54" s="119" t="n">
        <v>53</v>
      </c>
      <c r="C54" s="35" t="inlineStr">
        <is>
          <t>בן לולו</t>
        </is>
      </c>
      <c r="D54" s="34" t="n"/>
      <c r="E54" s="168" t="n">
        <v>350</v>
      </c>
      <c r="F54" s="34" t="n">
        <v>350</v>
      </c>
      <c r="G54" s="34" t="n">
        <v>700</v>
      </c>
      <c r="H54" s="34" t="n"/>
      <c r="I54" s="34" t="n"/>
      <c r="J54" s="34" t="n"/>
      <c r="K54" s="34" t="n"/>
      <c r="L54" s="34" t="n"/>
      <c r="M54" s="34" t="n"/>
      <c r="N54" s="34" t="n"/>
      <c r="O54" s="127" t="n"/>
      <c r="P54" s="140" t="n"/>
      <c r="R54" t="inlineStr">
        <is>
          <t>הו"ק ב28 לכל חודש</t>
        </is>
      </c>
      <c r="S54" s="34" t="n"/>
      <c r="X54">
        <f t="array" ref="X5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B54, _xlpm.payments, E54:P54,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5">
      <c r="A55" s="195" t="n">
        <v>12</v>
      </c>
      <c r="B55" s="116" t="n">
        <v>54</v>
      </c>
      <c r="C55" s="30" t="inlineStr">
        <is>
          <t>אמור יוספה / ברכה</t>
        </is>
      </c>
      <c r="E55" s="137" t="n">
        <v>350</v>
      </c>
      <c r="F55" t="n">
        <v>350</v>
      </c>
      <c r="G55" t="n">
        <v>350</v>
      </c>
      <c r="H55" t="n">
        <v>350</v>
      </c>
      <c r="I55" t="n">
        <v>350</v>
      </c>
      <c r="P55" s="29" t="n"/>
      <c r="S55" t="n">
        <v>4763312</v>
      </c>
      <c r="X55">
        <f t="array" ref="X5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B55, _xlpm.payments, E55:P55,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6">
      <c r="A56" s="194" t="n"/>
      <c r="B56" s="37" t="n">
        <v>55</v>
      </c>
      <c r="C56" s="30" t="inlineStr">
        <is>
          <t>שרון פוליאנסקי / מוגילבסקי</t>
        </is>
      </c>
      <c r="D56" t="inlineStr">
        <is>
          <t>רוזן אילנית</t>
        </is>
      </c>
      <c r="E56" s="137" t="n">
        <v>350</v>
      </c>
      <c r="F56" t="n">
        <v>350</v>
      </c>
      <c r="G56" t="n">
        <v>350</v>
      </c>
      <c r="H56" t="n">
        <v>350</v>
      </c>
      <c r="P56" s="29" t="n"/>
      <c r="Q56" t="n">
        <v>500</v>
      </c>
      <c r="X56">
        <f t="array" ref="X5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B56, _xlpm.payments, E56:P56,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7">
      <c r="A57" s="194" t="n"/>
      <c r="B57" s="116" t="n">
        <v>56</v>
      </c>
      <c r="C57" s="30" t="inlineStr">
        <is>
          <t>נחשון / אלון אגוזי / שוקי ברכה</t>
        </is>
      </c>
      <c r="D57" t="inlineStr">
        <is>
          <t>גל ברזני</t>
        </is>
      </c>
      <c r="E57" s="137" t="n">
        <v>350</v>
      </c>
      <c r="F57" t="n">
        <v>350</v>
      </c>
      <c r="G57" t="n">
        <v>350</v>
      </c>
      <c r="H57" t="n">
        <v>350</v>
      </c>
      <c r="I57" t="n">
        <v>350</v>
      </c>
      <c r="P57" s="29" t="n"/>
      <c r="Q57" t="n">
        <v>500</v>
      </c>
      <c r="S57" t="n">
        <v>4587785</v>
      </c>
      <c r="X57">
        <f t="array" ref="X5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B57, _xlpm.payments, E57:P57,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8">
      <c r="A58" s="194" t="n"/>
      <c r="B58" s="37" t="n">
        <v>57</v>
      </c>
      <c r="C58" s="30" t="inlineStr">
        <is>
          <t>אל איי הנדסה / צרור עדן / מימוס</t>
        </is>
      </c>
      <c r="E58" s="137" t="n">
        <v>350</v>
      </c>
      <c r="F58" t="n">
        <v>350</v>
      </c>
      <c r="G58" t="n">
        <v>350</v>
      </c>
      <c r="H58" t="n">
        <v>350</v>
      </c>
      <c r="I58" t="n">
        <v>350</v>
      </c>
      <c r="P58" s="29" t="n"/>
      <c r="X58">
        <f t="array" ref="X5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B58, _xlpm.payments, E58:P58,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9">
      <c r="A59" s="193" t="n"/>
      <c r="B59" s="116" t="n">
        <v>58</v>
      </c>
      <c r="C59" s="30" t="inlineStr">
        <is>
          <t>סמעאן סיסלה</t>
        </is>
      </c>
      <c r="E59" s="137" t="n">
        <v>350</v>
      </c>
      <c r="F59" t="n">
        <v>350</v>
      </c>
      <c r="G59" t="n">
        <v>350</v>
      </c>
      <c r="H59" t="n">
        <v>350</v>
      </c>
      <c r="P59" s="131" t="n"/>
      <c r="Q59" t="n">
        <v>500</v>
      </c>
      <c r="S59" t="n">
        <v>4660306</v>
      </c>
      <c r="X59">
        <f t="array" ref="X5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B59, _xlpm.payments, E59:P59,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0">
      <c r="A60" s="192" t="n">
        <v>13</v>
      </c>
      <c r="B60" s="39" t="n">
        <v>59</v>
      </c>
      <c r="C60" s="40" t="inlineStr">
        <is>
          <t>איטח ענת / רפי</t>
        </is>
      </c>
      <c r="D60" s="41" t="n"/>
      <c r="E60" s="136" t="n">
        <v>350</v>
      </c>
      <c r="F60" s="41" t="n">
        <v>350</v>
      </c>
      <c r="G60" s="41" t="n">
        <v>350</v>
      </c>
      <c r="H60" s="41" t="n">
        <v>350</v>
      </c>
      <c r="I60" s="41" t="n">
        <v>350</v>
      </c>
      <c r="J60" s="41" t="n"/>
      <c r="K60" s="41" t="n"/>
      <c r="L60" s="41" t="n"/>
      <c r="M60" s="41" t="n"/>
      <c r="N60" s="41" t="n"/>
      <c r="O60" s="41" t="n"/>
      <c r="P60" s="42" t="n"/>
      <c r="S60" s="40" t="inlineStr">
        <is>
          <t>חרזי / עינב</t>
        </is>
      </c>
      <c r="X60">
        <f t="array" ref="X6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B60, _xlpm.payments, E60:P60,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1">
      <c r="A61" s="193" t="n"/>
      <c r="B61" s="38" t="n">
        <v>60</v>
      </c>
      <c r="C61" s="221" t="inlineStr">
        <is>
          <t>נוי טויזר / גל שרביט</t>
        </is>
      </c>
      <c r="D61" s="35" t="inlineStr">
        <is>
          <t>כהן עידן/מורן</t>
        </is>
      </c>
      <c r="E61" s="168" t="n">
        <v>350</v>
      </c>
      <c r="F61" s="34" t="n">
        <v>350</v>
      </c>
      <c r="G61" s="34" t="n">
        <v>350</v>
      </c>
      <c r="H61" s="34" t="n">
        <v>350</v>
      </c>
      <c r="I61" s="34" t="n">
        <v>350</v>
      </c>
      <c r="J61" s="34" t="n"/>
      <c r="K61" s="34" t="n"/>
      <c r="L61" s="34" t="n"/>
      <c r="M61" s="34" t="n"/>
      <c r="N61" s="34" t="n"/>
      <c r="O61" s="34" t="n"/>
      <c r="P61" s="36" t="n"/>
      <c r="Q61" t="n">
        <v>500</v>
      </c>
      <c r="S61" s="34" t="n">
        <v>4613527</v>
      </c>
      <c r="X61">
        <f t="array" ref="X6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B61, _xlpm.payments, E61:P61,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2">
      <c r="B62" s="5" t="inlineStr">
        <is>
          <t>סה"כ</t>
        </is>
      </c>
      <c r="C62" s="222" t="n"/>
      <c r="E62" s="6">
        <f>SUM(E2:E61)</f>
        <v/>
      </c>
      <c r="F62" s="6">
        <f>SUM(F2:F61)</f>
        <v/>
      </c>
      <c r="G62" s="6">
        <f>SUM(G2:G61)</f>
        <v/>
      </c>
      <c r="H62" s="6">
        <f>SUM(H2:H61)</f>
        <v/>
      </c>
      <c r="I62" s="6">
        <f>SUM(I2:I61)</f>
        <v/>
      </c>
      <c r="J62" s="6">
        <f>SUM(J2:J61)</f>
        <v/>
      </c>
      <c r="K62" s="6">
        <f>SUM(K2:K61)</f>
        <v/>
      </c>
      <c r="L62" s="6">
        <f>SUM(L2:L61)</f>
        <v/>
      </c>
      <c r="M62" s="6">
        <f>SUM(M2:M61)</f>
        <v/>
      </c>
      <c r="N62" s="6">
        <f>SUM(N2:N61)</f>
        <v/>
      </c>
      <c r="O62" s="6">
        <f>SUM(O2:O61)</f>
        <v/>
      </c>
      <c r="P62" s="6">
        <f>SUM(P2:P61)</f>
        <v/>
      </c>
      <c r="Q62" s="6">
        <f>SUM(Q2:Q61)</f>
        <v/>
      </c>
    </row>
    <row r="63">
      <c r="B63" s="5" t="inlineStr">
        <is>
          <t>יעד</t>
        </is>
      </c>
      <c r="C63" s="222" t="n"/>
      <c r="E63" s="6">
        <f>56*350</f>
        <v/>
      </c>
      <c r="F63" s="6">
        <f>56*350</f>
        <v/>
      </c>
      <c r="G63" s="6">
        <f>56*350</f>
        <v/>
      </c>
      <c r="H63" s="6">
        <f>56*350</f>
        <v/>
      </c>
      <c r="I63" s="6">
        <f>56*350</f>
        <v/>
      </c>
      <c r="J63" s="6">
        <f>56*350</f>
        <v/>
      </c>
      <c r="K63" s="6">
        <f>56*350</f>
        <v/>
      </c>
      <c r="L63" s="6">
        <f>56*350</f>
        <v/>
      </c>
      <c r="M63" s="6">
        <f>56*350</f>
        <v/>
      </c>
      <c r="N63" s="6">
        <f>56*350</f>
        <v/>
      </c>
      <c r="O63" s="6">
        <f>56*350</f>
        <v/>
      </c>
      <c r="P63" s="6">
        <f>56*350</f>
        <v/>
      </c>
      <c r="Q63" t="n">
        <v>30000</v>
      </c>
    </row>
    <row r="64">
      <c r="B64" s="7" t="inlineStr">
        <is>
          <t>פער</t>
        </is>
      </c>
      <c r="C64" s="223" t="n"/>
      <c r="D64" s="8" t="n"/>
      <c r="E64" s="224">
        <f>E62/E63</f>
        <v/>
      </c>
      <c r="F64" s="224">
        <f>F62/F63</f>
        <v/>
      </c>
      <c r="G64" s="224">
        <f>G62/G63</f>
        <v/>
      </c>
      <c r="H64" s="224">
        <f>H62/H63</f>
        <v/>
      </c>
      <c r="I64" s="224">
        <f>I62/I63</f>
        <v/>
      </c>
      <c r="J64" s="224">
        <f>J62/J63</f>
        <v/>
      </c>
      <c r="K64" s="224">
        <f>K62/K63</f>
        <v/>
      </c>
      <c r="L64" s="224">
        <f>L62/L63</f>
        <v/>
      </c>
      <c r="M64" s="224">
        <f>M62/M63</f>
        <v/>
      </c>
      <c r="N64" s="224">
        <f>N62/N63</f>
        <v/>
      </c>
      <c r="O64" s="224">
        <f>O62/O63</f>
        <v/>
      </c>
      <c r="P64" s="224">
        <f>P62/P63</f>
        <v/>
      </c>
      <c r="Q64" s="224">
        <f>Q62/Q63</f>
        <v/>
      </c>
      <c r="S64" s="8" t="n"/>
    </row>
    <row r="65">
      <c r="B65" s="116" t="inlineStr">
        <is>
          <t>תשלום חובות</t>
        </is>
      </c>
      <c r="C65" s="222" t="n"/>
    </row>
    <row r="66">
      <c r="B66" s="116" t="inlineStr">
        <is>
          <t>הכנסות נוספות</t>
        </is>
      </c>
      <c r="C66" s="222" t="n"/>
      <c r="E66" s="225" t="n">
        <v>17503</v>
      </c>
      <c r="R66" t="inlineStr">
        <is>
          <t>ינ - ביטוח שריפה</t>
        </is>
      </c>
    </row>
    <row r="68">
      <c r="B68" s="9" t="n"/>
      <c r="C68" s="30" t="inlineStr">
        <is>
          <t>חבר ועד</t>
        </is>
      </c>
      <c r="X68" s="151" t="inlineStr">
        <is>
          <t>ריכוז חובות לשליחה</t>
        </is>
      </c>
    </row>
    <row r="69" ht="293.25" customHeight="1" s="197">
      <c r="B69" s="10" t="n"/>
      <c r="C69" s="30" t="inlineStr">
        <is>
          <t>מזומן</t>
        </is>
      </c>
      <c r="X69" s="143">
        <f>"היי, להלן רשימת החובות המעודכנת:" &amp; CHAR(10) &amp; _xlfn.TEXTJOIN(CHAR(10), TRUE, X2:X61)</f>
        <v/>
      </c>
    </row>
    <row r="72">
      <c r="B72" t="inlineStr">
        <is>
          <t>בנק לאומי</t>
        </is>
      </c>
    </row>
    <row r="73">
      <c r="B73" t="inlineStr">
        <is>
          <t>סניף 885</t>
        </is>
      </c>
    </row>
    <row r="74">
      <c r="B74" t="inlineStr">
        <is>
          <t>37554/82</t>
        </is>
      </c>
    </row>
  </sheetData>
  <mergeCells count="13">
    <mergeCell ref="A40:A44"/>
    <mergeCell ref="A30:A34"/>
    <mergeCell ref="A5:A9"/>
    <mergeCell ref="A15:A19"/>
    <mergeCell ref="A2:A4"/>
    <mergeCell ref="A60:A61"/>
    <mergeCell ref="A25:A29"/>
    <mergeCell ref="A35:A39"/>
    <mergeCell ref="A50:A54"/>
    <mergeCell ref="A10:A14"/>
    <mergeCell ref="A20:A24"/>
    <mergeCell ref="A55:A59"/>
    <mergeCell ref="A45:A49"/>
  </mergeCells>
  <printOptions horizontalCentered="1"/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31"/>
  <sheetViews>
    <sheetView rightToLeft="1" tabSelected="1" zoomScale="130" zoomScaleNormal="130" workbookViewId="0">
      <selection activeCell="E23" sqref="E23"/>
    </sheetView>
  </sheetViews>
  <sheetFormatPr baseColWidth="8" defaultRowHeight="15"/>
  <cols>
    <col width="24.7109375" bestFit="1" customWidth="1" style="197" min="1" max="1"/>
    <col width="33.7109375" bestFit="1" customWidth="1" style="197" min="2" max="2"/>
    <col width="12.42578125" customWidth="1" style="197" min="3" max="3"/>
    <col width="18" bestFit="1" customWidth="1" style="197" min="4" max="4"/>
    <col width="11.7109375" bestFit="1" customWidth="1" style="197" min="5" max="5"/>
    <col width="11" bestFit="1" customWidth="1" style="197" min="6" max="6"/>
    <col width="10.85546875" bestFit="1" customWidth="1" style="197" min="7" max="7"/>
    <col width="11" bestFit="1" customWidth="1" style="197" min="8" max="8"/>
    <col width="11.7109375" customWidth="1" style="197" min="9" max="9"/>
    <col width="13.28515625" customWidth="1" style="197" min="10" max="10"/>
    <col width="13.140625" customWidth="1" style="197" min="11" max="11"/>
    <col width="12.140625" customWidth="1" style="197" min="12" max="12"/>
    <col width="11.7109375" customWidth="1" style="197" min="13" max="13"/>
    <col width="14.5703125" customWidth="1" style="197" min="14" max="14"/>
    <col width="12.7109375" customWidth="1" style="197" min="15" max="15"/>
  </cols>
  <sheetData>
    <row r="1">
      <c r="A1" s="11" t="inlineStr">
        <is>
          <t>הוצאה</t>
        </is>
      </c>
      <c r="B1" s="12" t="inlineStr">
        <is>
          <t>ינואר 25</t>
        </is>
      </c>
      <c r="C1" s="12" t="inlineStr">
        <is>
          <t>פברואר 25</t>
        </is>
      </c>
      <c r="D1" s="12" t="inlineStr">
        <is>
          <t>מרץ 25</t>
        </is>
      </c>
      <c r="E1" s="12" t="inlineStr">
        <is>
          <t>אפריל 25</t>
        </is>
      </c>
      <c r="F1" s="12" t="inlineStr">
        <is>
          <t>מאי 25</t>
        </is>
      </c>
      <c r="G1" s="12" t="inlineStr">
        <is>
          <t>יוני 25</t>
        </is>
      </c>
      <c r="H1" s="12" t="inlineStr">
        <is>
          <t>יולי 25</t>
        </is>
      </c>
      <c r="I1" s="12" t="inlineStr">
        <is>
          <t>אוגוסט 25</t>
        </is>
      </c>
      <c r="J1" s="12" t="inlineStr">
        <is>
          <t>ספטמבר 25</t>
        </is>
      </c>
      <c r="K1" s="12" t="inlineStr">
        <is>
          <t>אוקטובר 25</t>
        </is>
      </c>
      <c r="L1" s="12" t="inlineStr">
        <is>
          <t>נובמבר 25</t>
        </is>
      </c>
      <c r="M1" s="12" t="inlineStr">
        <is>
          <t>דצמבר 25</t>
        </is>
      </c>
      <c r="N1" s="11" t="inlineStr">
        <is>
          <t>ממוצא חודשי</t>
        </is>
      </c>
      <c r="O1" s="13" t="inlineStr">
        <is>
          <t>סה"כ שנתי</t>
        </is>
      </c>
    </row>
    <row r="2">
      <c r="A2" s="14" t="inlineStr">
        <is>
          <t>יניב אחזקות</t>
        </is>
      </c>
      <c r="B2" s="226" t="n">
        <v>7500</v>
      </c>
      <c r="C2" s="226" t="n">
        <v>7500</v>
      </c>
      <c r="D2" s="226" t="n">
        <v>7500</v>
      </c>
      <c r="E2" s="226" t="n">
        <v>7500</v>
      </c>
      <c r="F2" s="226" t="n">
        <v>7500</v>
      </c>
      <c r="G2" s="226" t="n"/>
      <c r="H2" s="226" t="n"/>
      <c r="I2" s="226" t="n"/>
      <c r="J2" s="226" t="n"/>
      <c r="K2" s="226" t="n"/>
      <c r="L2" s="226" t="n"/>
      <c r="M2" s="226" t="n"/>
      <c r="N2" s="227">
        <f>AVERAGE(Table2[[#This Row],[ינואר 25]:[דצמבר 25]])</f>
        <v/>
      </c>
      <c r="O2" s="228">
        <f>SUM(Table2[[#This Row],[ינואר 25]:[דצמבר 25]])</f>
        <v/>
      </c>
    </row>
    <row r="3">
      <c r="A3" s="14" t="inlineStr">
        <is>
          <t>קונה מעליות</t>
        </is>
      </c>
      <c r="B3" s="226" t="n">
        <v>4361.79</v>
      </c>
      <c r="C3" s="226" t="n">
        <v>4361.79</v>
      </c>
      <c r="D3" s="226" t="n">
        <v>4549.48</v>
      </c>
      <c r="E3" s="226" t="n">
        <v>4558.28</v>
      </c>
      <c r="F3" s="226" t="n"/>
      <c r="G3" s="226" t="n"/>
      <c r="H3" s="226" t="n"/>
      <c r="I3" s="226" t="n"/>
      <c r="J3" s="226" t="n"/>
      <c r="K3" s="226" t="n"/>
      <c r="L3" s="226" t="n"/>
      <c r="M3" s="226" t="n"/>
      <c r="N3" s="227">
        <f>AVERAGE(Table2[[#This Row],[ינואר 25]:[דצמבר 25]])</f>
        <v/>
      </c>
      <c r="O3" s="228">
        <f>SUM(Table2[[#This Row],[ינואר 25]:[דצמבר 25]])</f>
        <v/>
      </c>
    </row>
    <row r="4">
      <c r="A4" s="14" t="inlineStr">
        <is>
          <t>חשמל ציבורי</t>
        </is>
      </c>
      <c r="B4" s="226" t="n">
        <v>3545.6</v>
      </c>
      <c r="C4" s="226" t="n">
        <v>3595.06</v>
      </c>
      <c r="D4" s="226" t="n">
        <v>3233.77</v>
      </c>
      <c r="E4" s="226" t="n">
        <v>3353.66</v>
      </c>
      <c r="F4" s="226" t="n"/>
      <c r="G4" s="226" t="n"/>
      <c r="H4" s="226" t="n"/>
      <c r="I4" s="226" t="n"/>
      <c r="J4" s="226" t="n"/>
      <c r="K4" s="226" t="n"/>
      <c r="L4" s="226" t="n"/>
      <c r="M4" s="226" t="n"/>
      <c r="N4" s="227">
        <f>AVERAGE(Table2[[#This Row],[ינואר 25]:[דצמבר 25]])</f>
        <v/>
      </c>
      <c r="O4" s="228">
        <f>SUM(Table2[[#This Row],[ינואר 25]:[דצמבר 25]])</f>
        <v/>
      </c>
    </row>
    <row r="5">
      <c r="A5" s="14" t="inlineStr">
        <is>
          <t>גינון</t>
        </is>
      </c>
      <c r="B5" s="226" t="n">
        <v>1500</v>
      </c>
      <c r="C5" s="226" t="n">
        <v>900</v>
      </c>
      <c r="D5" s="226" t="n">
        <v>900</v>
      </c>
      <c r="E5" s="226" t="n">
        <v>900</v>
      </c>
      <c r="F5" s="226" t="n">
        <v>900</v>
      </c>
      <c r="G5" s="226" t="n"/>
      <c r="H5" s="226" t="n"/>
      <c r="I5" s="226" t="n"/>
      <c r="J5" s="226" t="n"/>
      <c r="K5" s="226" t="n"/>
      <c r="L5" s="226" t="n"/>
      <c r="M5" s="226" t="n"/>
      <c r="N5" s="227">
        <f>AVERAGE(Table2[[#This Row],[ינואר 25]:[דצמבר 25]])</f>
        <v/>
      </c>
      <c r="O5" s="228">
        <f>SUM(Table2[[#This Row],[ינואר 25]:[דצמבר 25]])</f>
        <v/>
      </c>
    </row>
    <row r="6">
      <c r="A6" s="14" t="inlineStr">
        <is>
          <t>ביטוח</t>
        </is>
      </c>
      <c r="B6" s="226" t="n">
        <v>981</v>
      </c>
      <c r="C6" s="226" t="n">
        <v>982</v>
      </c>
      <c r="D6" s="226" t="n">
        <v>979</v>
      </c>
      <c r="E6" s="226" t="n">
        <v>981</v>
      </c>
      <c r="F6" s="226" t="n">
        <v>985</v>
      </c>
      <c r="G6" s="226" t="n"/>
      <c r="H6" s="226" t="n"/>
      <c r="I6" s="226" t="n"/>
      <c r="J6" s="226" t="n"/>
      <c r="K6" s="226" t="n"/>
      <c r="L6" s="226" t="n"/>
      <c r="M6" s="226" t="n"/>
      <c r="N6" s="227">
        <f>AVERAGE(Table2[[#This Row],[ינואר 25]:[דצמבר 25]])</f>
        <v/>
      </c>
      <c r="O6" s="228">
        <f>SUM(Table2[[#This Row],[ינואר 25]:[דצמבר 25]])</f>
        <v/>
      </c>
    </row>
    <row r="7">
      <c r="A7" s="14" t="inlineStr">
        <is>
          <t>ארדן בטיחות</t>
        </is>
      </c>
      <c r="B7" s="226" t="n">
        <v>780.11</v>
      </c>
      <c r="C7" s="226" t="n">
        <v>780.11</v>
      </c>
      <c r="D7" s="226" t="n">
        <v>780.11</v>
      </c>
      <c r="E7" s="226" t="n"/>
      <c r="F7" s="226" t="n"/>
      <c r="G7" s="226" t="n"/>
      <c r="H7" s="226" t="n"/>
      <c r="I7" s="226" t="n"/>
      <c r="J7" s="226" t="n"/>
      <c r="K7" s="226" t="n"/>
      <c r="L7" s="226" t="n"/>
      <c r="M7" s="226" t="n"/>
      <c r="N7" s="227">
        <f>AVERAGE(Table2[[#This Row],[ינואר 25]:[דצמבר 25]])</f>
        <v/>
      </c>
      <c r="O7" s="228">
        <f>SUM(Table2[[#This Row],[ינואר 25]:[דצמבר 25]])</f>
        <v/>
      </c>
    </row>
    <row r="8">
      <c r="A8" s="14" t="inlineStr">
        <is>
          <t>פרטנר</t>
        </is>
      </c>
      <c r="B8" s="226" t="n">
        <v>90.77</v>
      </c>
      <c r="C8" s="226" t="n">
        <v>90.77</v>
      </c>
      <c r="D8" s="226" t="n">
        <v>90.77</v>
      </c>
      <c r="E8" s="226" t="n">
        <v>90.77</v>
      </c>
      <c r="F8" s="226" t="n"/>
      <c r="G8" s="226" t="n"/>
      <c r="H8" s="226" t="n"/>
      <c r="I8" s="226" t="n"/>
      <c r="J8" s="226" t="n"/>
      <c r="K8" s="226" t="n"/>
      <c r="L8" s="226" t="n"/>
      <c r="M8" s="226" t="n"/>
      <c r="N8" s="227">
        <f>AVERAGE(Table2[[#This Row],[ינואר 25]:[דצמבר 25]])</f>
        <v/>
      </c>
      <c r="O8" s="228">
        <f>SUM(Table2[[#This Row],[ינואר 25]:[דצמבר 25]])</f>
        <v/>
      </c>
    </row>
    <row r="9">
      <c r="A9" s="159" t="inlineStr">
        <is>
          <t>Novula - מסך טלויזיה</t>
        </is>
      </c>
      <c r="B9" s="226" t="n">
        <v>0</v>
      </c>
      <c r="C9" s="226" t="n">
        <v>0</v>
      </c>
      <c r="D9" s="226">
        <f>77+74.25</f>
        <v/>
      </c>
      <c r="E9" s="226" t="n">
        <v>77</v>
      </c>
      <c r="F9" s="226" t="n">
        <v>77</v>
      </c>
      <c r="G9" s="226" t="n"/>
      <c r="H9" s="226" t="n"/>
      <c r="I9" s="226" t="n"/>
      <c r="J9" s="226" t="n"/>
      <c r="K9" s="226" t="n"/>
      <c r="L9" s="226" t="n"/>
      <c r="M9" s="226" t="n"/>
      <c r="N9" s="227">
        <f>AVERAGE(Table2[[#This Row],[ינואר 25]:[דצמבר 25]])</f>
        <v/>
      </c>
      <c r="O9" s="228">
        <f>SUM(Table2[[#This Row],[ינואר 25]:[דצמבר 25]])</f>
        <v/>
      </c>
    </row>
    <row r="10">
      <c r="A10" s="14" t="inlineStr">
        <is>
          <t>בזק</t>
        </is>
      </c>
      <c r="B10" s="226" t="n">
        <v>24.57</v>
      </c>
      <c r="C10" s="226" t="n">
        <v>0</v>
      </c>
      <c r="D10" s="226">
        <f>24.57+24.57</f>
        <v/>
      </c>
      <c r="E10" s="226" t="n">
        <v>24.57</v>
      </c>
      <c r="F10" s="226" t="n"/>
      <c r="G10" s="226" t="n"/>
      <c r="H10" s="226" t="n"/>
      <c r="I10" s="226" t="n"/>
      <c r="J10" s="226" t="n"/>
      <c r="K10" s="226" t="n"/>
      <c r="L10" s="226" t="n"/>
      <c r="M10" s="226" t="n"/>
      <c r="N10" s="227">
        <f>AVERAGE(Table2[[#This Row],[ינואר 25]:[דצמבר 25]])</f>
        <v/>
      </c>
      <c r="O10" s="228">
        <f>SUM(Table2[[#This Row],[ינואר 25]:[דצמבר 25]])</f>
        <v/>
      </c>
    </row>
    <row r="11">
      <c r="A11" s="14" t="inlineStr">
        <is>
          <t>מסלול בנק</t>
        </is>
      </c>
      <c r="B11" s="226" t="n">
        <v>25</v>
      </c>
      <c r="C11" s="226" t="n">
        <v>25</v>
      </c>
      <c r="D11" s="226" t="n">
        <v>25</v>
      </c>
      <c r="E11" s="226" t="n">
        <v>25</v>
      </c>
      <c r="F11" s="226" t="n">
        <v>25</v>
      </c>
      <c r="G11" s="226" t="n"/>
      <c r="H11" s="226" t="n"/>
      <c r="I11" s="226" t="n"/>
      <c r="J11" s="226" t="n"/>
      <c r="K11" s="226" t="n"/>
      <c r="L11" s="226" t="n"/>
      <c r="M11" s="226" t="n"/>
      <c r="N11" s="227">
        <f>AVERAGE(Table2[[#This Row],[ינואר 25]:[דצמבר 25]])</f>
        <v/>
      </c>
      <c r="O11" s="228">
        <f>SUM(Table2[[#This Row],[ינואר 25]:[דצמבר 25]])</f>
        <v/>
      </c>
    </row>
    <row r="12">
      <c r="A12" s="15" t="inlineStr">
        <is>
          <t>עמלות בנק</t>
        </is>
      </c>
      <c r="B12" s="229" t="n">
        <v>14.85</v>
      </c>
      <c r="C12" s="229" t="n">
        <v>14.85</v>
      </c>
      <c r="D12" s="229" t="n">
        <v>24.75</v>
      </c>
      <c r="E12" s="229" t="n">
        <v>26.4</v>
      </c>
      <c r="F12" s="229" t="n">
        <v>19.8</v>
      </c>
      <c r="G12" s="229" t="n"/>
      <c r="H12" s="229" t="n"/>
      <c r="I12" s="229" t="n"/>
      <c r="J12" s="229" t="n"/>
      <c r="K12" s="229" t="n"/>
      <c r="L12" s="229" t="n"/>
      <c r="M12" s="229" t="n"/>
      <c r="N12" s="227">
        <f>AVERAGE(Table2[[#This Row],[ינואר 25]:[דצמבר 25]])</f>
        <v/>
      </c>
      <c r="O12" s="228">
        <f>SUM(Table2[[#This Row],[ינואר 25]:[דצמבר 25]])</f>
        <v/>
      </c>
    </row>
    <row r="13">
      <c r="A13" s="15" t="inlineStr">
        <is>
          <t>כללי</t>
        </is>
      </c>
      <c r="B13" s="229" t="n">
        <v>606</v>
      </c>
      <c r="C13" s="229">
        <f>500+700+48.38+177+665+650+350</f>
        <v/>
      </c>
      <c r="D13" s="229" t="n">
        <v>6500</v>
      </c>
      <c r="E13" s="229" t="n">
        <v>2734.9</v>
      </c>
      <c r="F13" s="229" t="n"/>
      <c r="G13" s="229" t="n"/>
      <c r="H13" s="229" t="n"/>
      <c r="I13" s="229" t="n"/>
      <c r="J13" s="229" t="n"/>
      <c r="K13" s="229" t="n"/>
      <c r="L13" s="229" t="n"/>
      <c r="M13" s="229" t="n"/>
      <c r="N13" s="227" t="n"/>
      <c r="O13" s="228" t="n"/>
    </row>
    <row r="14">
      <c r="A14" s="15" t="inlineStr">
        <is>
          <t>קופה קטנה</t>
        </is>
      </c>
      <c r="B14" s="229">
        <f>'קופה קטנה'!B43</f>
        <v/>
      </c>
      <c r="C14" s="229">
        <f>'קופה קטנה'!C43</f>
        <v/>
      </c>
      <c r="D14" s="229">
        <f>'קופה קטנה'!D43</f>
        <v/>
      </c>
      <c r="E14" s="229">
        <f>'קופה קטנה'!E43</f>
        <v/>
      </c>
      <c r="F14" s="229">
        <f>'קופה קטנה'!F43</f>
        <v/>
      </c>
      <c r="G14" s="229">
        <f>'קופה קטנה'!G43</f>
        <v/>
      </c>
      <c r="H14" s="229">
        <f>'קופה קטנה'!H43</f>
        <v/>
      </c>
      <c r="I14" s="229">
        <f>'קופה קטנה'!I43</f>
        <v/>
      </c>
      <c r="J14" s="229">
        <f>'קופה קטנה'!J43</f>
        <v/>
      </c>
      <c r="K14" s="229">
        <f>'קופה קטנה'!K43</f>
        <v/>
      </c>
      <c r="L14" s="229">
        <f>'קופה קטנה'!L43</f>
        <v/>
      </c>
      <c r="M14" s="229">
        <f>'קופה קטנה'!M43</f>
        <v/>
      </c>
      <c r="N14" s="227" t="n"/>
      <c r="O14" s="228" t="n"/>
    </row>
    <row r="15">
      <c r="A15" s="15" t="n"/>
      <c r="B15" s="229" t="n"/>
      <c r="C15" s="229" t="n"/>
      <c r="D15" s="229" t="n"/>
      <c r="E15" s="229" t="n"/>
      <c r="F15" s="229" t="n"/>
      <c r="G15" s="229" t="n"/>
      <c r="H15" s="229" t="n"/>
      <c r="I15" s="229" t="n"/>
      <c r="J15" s="229" t="n"/>
      <c r="K15" s="229" t="n"/>
      <c r="L15" s="229" t="n"/>
      <c r="M15" s="229" t="n"/>
      <c r="N15" s="227" t="n"/>
      <c r="O15" s="228" t="n"/>
    </row>
    <row r="16">
      <c r="A16" s="16" t="inlineStr">
        <is>
          <t>הוצאות שוטף</t>
        </is>
      </c>
      <c r="B16" s="230">
        <f>SUM(B2:B13)</f>
        <v/>
      </c>
      <c r="C16" s="230">
        <f>SUM(C2:C13)</f>
        <v/>
      </c>
      <c r="D16" s="230">
        <f>SUM(D2:D13)</f>
        <v/>
      </c>
      <c r="E16" s="230">
        <f>SUM(E2:E13)</f>
        <v/>
      </c>
      <c r="F16" s="230">
        <f>SUM(F2:F13)</f>
        <v/>
      </c>
      <c r="G16" s="230">
        <f>SUM(G2:G13)</f>
        <v/>
      </c>
      <c r="H16" s="230">
        <f>SUM(H2:H13)</f>
        <v/>
      </c>
      <c r="I16" s="230">
        <f>SUM(I2:I13)</f>
        <v/>
      </c>
      <c r="J16" s="230">
        <f>SUM(J2:J13)</f>
        <v/>
      </c>
      <c r="K16" s="230">
        <f>SUM(K2:K13)</f>
        <v/>
      </c>
      <c r="L16" s="230">
        <f>SUM(L2:L13)</f>
        <v/>
      </c>
      <c r="M16" s="230">
        <f>SUM(M2:M13)</f>
        <v/>
      </c>
      <c r="N16" s="231">
        <f>AVERAGE(Table2[[#This Row],[ינואר 25]:[דצמבר 25]])</f>
        <v/>
      </c>
      <c r="O16" s="232">
        <f>SUM(Table2[[#This Row],[ינואר 25]:[דצמבר 25]])</f>
        <v/>
      </c>
    </row>
    <row r="17">
      <c r="A17" s="20" t="inlineStr">
        <is>
          <t>הוצאות לא שוטף</t>
        </is>
      </c>
      <c r="B17" s="230">
        <f>SUM(B14)</f>
        <v/>
      </c>
      <c r="C17" s="230">
        <f>SUM(C14)</f>
        <v/>
      </c>
      <c r="D17" s="230">
        <f>SUM(D14)</f>
        <v/>
      </c>
      <c r="E17" s="230">
        <f>SUM(E14)</f>
        <v/>
      </c>
      <c r="F17" s="230">
        <f>SUM(F14)</f>
        <v/>
      </c>
      <c r="G17" s="230">
        <f>SUM(G14)</f>
        <v/>
      </c>
      <c r="H17" s="230">
        <f>SUM(H14)</f>
        <v/>
      </c>
      <c r="I17" s="230">
        <f>SUM(I14)</f>
        <v/>
      </c>
      <c r="J17" s="230">
        <f>SUM(J14)</f>
        <v/>
      </c>
      <c r="K17" s="230">
        <f>SUM(K14)</f>
        <v/>
      </c>
      <c r="L17" s="230">
        <f>SUM(L14)</f>
        <v/>
      </c>
      <c r="M17" s="230">
        <f>SUM(M14)</f>
        <v/>
      </c>
      <c r="N17" s="227">
        <f>AVERAGE(Table2[[#This Row],[ינואר 25]:[דצמבר 25]])</f>
        <v/>
      </c>
      <c r="O17" s="228">
        <f>SUM(Table2[[#This Row],[ינואר 25]:[דצמבר 25]])</f>
        <v/>
      </c>
    </row>
    <row r="18">
      <c r="A18" t="inlineStr">
        <is>
          <t>הוצאות סה"כ</t>
        </is>
      </c>
      <c r="B18" s="230">
        <f>SUM(B16:B17)</f>
        <v/>
      </c>
      <c r="C18" s="230">
        <f>SUM(C16:C17)</f>
        <v/>
      </c>
      <c r="D18" s="230">
        <f>SUM(D16:D17)</f>
        <v/>
      </c>
      <c r="E18" s="230">
        <f>SUM(E16:E17)</f>
        <v/>
      </c>
      <c r="F18" s="230">
        <f>SUM(F16:F17)</f>
        <v/>
      </c>
      <c r="G18" s="230">
        <f>SUM(G16:G17)</f>
        <v/>
      </c>
      <c r="H18" s="230">
        <f>SUM(H16:H17)</f>
        <v/>
      </c>
      <c r="I18" s="230">
        <f>SUM(I16:I17)</f>
        <v/>
      </c>
      <c r="J18" s="230">
        <f>SUM(J16:J17)</f>
        <v/>
      </c>
      <c r="K18" s="230">
        <f>SUM(K16:K17)</f>
        <v/>
      </c>
      <c r="L18" s="230">
        <f>SUM(L16:L17)</f>
        <v/>
      </c>
      <c r="M18" s="230">
        <f>SUM(M16:M17)</f>
        <v/>
      </c>
      <c r="N18" s="227">
        <f>AVERAGE(Table2[[#This Row],[ינואר 25]:[דצמבר 25]])</f>
        <v/>
      </c>
      <c r="O18" s="228">
        <f>SUM(Table2[[#This Row],[ינואר 25]:[דצמבר 25]])</f>
        <v/>
      </c>
    </row>
    <row r="19">
      <c r="A19" t="inlineStr">
        <is>
          <t>הכנסות שוטף</t>
        </is>
      </c>
      <c r="B19" s="226">
        <f>'גביה 2026'!E62</f>
        <v/>
      </c>
      <c r="C19" s="226">
        <f>'גביה 2026'!F62</f>
        <v/>
      </c>
      <c r="D19" s="226">
        <f>'גביה 2026'!G62</f>
        <v/>
      </c>
      <c r="E19" s="226">
        <f>'גביה 2026'!H62</f>
        <v/>
      </c>
      <c r="F19" s="226">
        <f>'גביה 2026'!I62</f>
        <v/>
      </c>
      <c r="G19" s="226">
        <f>'גביה 2026'!J62</f>
        <v/>
      </c>
      <c r="H19" s="226">
        <f>'גביה 2026'!K62</f>
        <v/>
      </c>
      <c r="I19" s="226">
        <f>'גביה 2026'!L62</f>
        <v/>
      </c>
      <c r="J19" s="226">
        <f>'גביה 2026'!M62</f>
        <v/>
      </c>
      <c r="K19" s="226">
        <f>'גביה 2026'!N62</f>
        <v/>
      </c>
      <c r="L19" s="226">
        <f>'גביה 2026'!O62</f>
        <v/>
      </c>
      <c r="M19" s="226">
        <f>'גביה 2026'!P62</f>
        <v/>
      </c>
      <c r="N19" s="227">
        <f>AVERAGE(Table2[[#This Row],[ינואר 25]:[דצמבר 25]])</f>
        <v/>
      </c>
      <c r="O19" s="228">
        <f>SUM(Table2[[#This Row],[ינואר 25]:[דצמבר 25]])</f>
        <v/>
      </c>
    </row>
    <row r="20">
      <c r="A20" t="inlineStr">
        <is>
          <t>יחס שוטף הכנסות/הוצאות</t>
        </is>
      </c>
      <c r="B20" s="233">
        <f>B16/B19</f>
        <v/>
      </c>
      <c r="C20" s="233">
        <f>C16/C19</f>
        <v/>
      </c>
      <c r="D20" s="233">
        <f>D16/D19</f>
        <v/>
      </c>
      <c r="E20" s="233">
        <f>E16/E19</f>
        <v/>
      </c>
      <c r="F20" s="233">
        <f>F16/F19</f>
        <v/>
      </c>
      <c r="G20" s="233">
        <f>G16/G19</f>
        <v/>
      </c>
      <c r="H20" s="233">
        <f>H16/H19</f>
        <v/>
      </c>
      <c r="I20" s="233">
        <f>I16/I19</f>
        <v/>
      </c>
      <c r="J20" s="233">
        <f>J16/J19</f>
        <v/>
      </c>
      <c r="K20" s="233">
        <f>K16/K19</f>
        <v/>
      </c>
      <c r="L20" s="233">
        <f>L16/L19</f>
        <v/>
      </c>
      <c r="M20" s="233">
        <f>M16/M19</f>
        <v/>
      </c>
      <c r="N20" s="227">
        <f>AVERAGE(Table2[[#This Row],[ינואר 25]:[דצמבר 25]])</f>
        <v/>
      </c>
      <c r="O20" s="228">
        <f>SUM(Table2[[#This Row],[ינואר 25]:[דצמבר 25]])</f>
        <v/>
      </c>
    </row>
    <row r="23" ht="57.75" customHeight="1" s="197">
      <c r="A23" t="inlineStr">
        <is>
          <t>הערות</t>
        </is>
      </c>
      <c r="B23" s="143" t="inlineStr">
        <is>
          <t>בדק מעליות
גינון 600 שקל דשן</t>
        </is>
      </c>
      <c r="C23" s="143" t="inlineStr">
        <is>
          <t>סידור אבנים משתלבות + משלוח סטרימר נובולה + אנטילופה + גופי תאורה 2 + כבל 20 מטר + צילינדר + ספק מנועל + ממסר למחסום</t>
        </is>
      </c>
      <c r="D23" t="inlineStr">
        <is>
          <t>שיפוץ חדרי מדרגות</t>
        </is>
      </c>
      <c r="E23" t="inlineStr">
        <is>
          <t>צבע | מברשת פלדה דגל | האגמית 7 חיטוי מאגרים | דגל יום עצמאות | האגמית 7 דגלים</t>
        </is>
      </c>
    </row>
    <row r="31">
      <c r="A31" s="133" t="inlineStr">
        <is>
          <t>חשמל 2025</t>
        </is>
      </c>
      <c r="B31" s="234" t="n">
        <v>3418.26</v>
      </c>
      <c r="C31" s="234" t="n">
        <v>3709.15</v>
      </c>
      <c r="D31" s="234" t="n">
        <v>3132.7</v>
      </c>
      <c r="E31" s="234" t="n">
        <v>2419.7</v>
      </c>
      <c r="F31" s="234" t="n">
        <v>2815.9</v>
      </c>
      <c r="G31" s="234" t="n">
        <v>2654.16</v>
      </c>
      <c r="H31" s="234" t="n">
        <v>4136.59</v>
      </c>
      <c r="I31" s="234" t="n">
        <v>4659.15</v>
      </c>
      <c r="J31" s="234" t="n">
        <v>3864.61</v>
      </c>
      <c r="K31" s="234" t="n">
        <v>3852.93</v>
      </c>
      <c r="L31" s="234" t="n">
        <v>2405.74</v>
      </c>
      <c r="M31" s="234" t="n">
        <v>2342.94</v>
      </c>
      <c r="N31" s="235">
        <f>AVERAGE(Table2[[#This Row],[ינואר 25]:[דצמבר 25]])</f>
        <v/>
      </c>
      <c r="O31" s="236">
        <f>SUM(Table2[[#This Row],[ינואר 25]:[דצמבר 25]])</f>
        <v/>
      </c>
    </row>
  </sheetData>
  <conditionalFormatting sqref="B20:M2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landscape" paperSize="9" fitToHeight="0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7"/>
  <sheetViews>
    <sheetView rightToLeft="1" topLeftCell="A38" workbookViewId="0">
      <selection activeCell="A55" sqref="A55"/>
    </sheetView>
  </sheetViews>
  <sheetFormatPr baseColWidth="8" defaultRowHeight="15"/>
  <cols>
    <col width="9.85546875" bestFit="1" customWidth="1" style="197" min="1" max="2"/>
    <col width="14.28515625" bestFit="1" customWidth="1" style="197" min="3" max="3"/>
    <col width="9.5703125" bestFit="1" customWidth="1" style="197" min="5" max="7"/>
  </cols>
  <sheetData>
    <row r="1">
      <c r="A1" s="148" t="inlineStr">
        <is>
          <t>בנק לאומי |</t>
        </is>
      </c>
      <c r="B1" s="148" t="n"/>
      <c r="C1" s="148" t="n"/>
      <c r="D1" s="148" t="n"/>
      <c r="E1" s="148" t="n"/>
      <c r="F1" s="148" t="n"/>
      <c r="G1" s="148" t="n"/>
      <c r="H1" s="148" t="n"/>
    </row>
    <row r="2" ht="15" customHeight="1" s="197">
      <c r="A2" s="148" t="inlineStr">
        <is>
          <t>מס' חשבון : ‏‏ ‎885-37554/82‎</t>
        </is>
      </c>
      <c r="B2" s="148" t="n"/>
      <c r="C2" s="148" t="n"/>
      <c r="D2" s="148" t="n"/>
      <c r="E2" s="148" t="n"/>
      <c r="F2" s="148" t="n"/>
      <c r="G2" s="148" t="n"/>
      <c r="H2" s="148" t="n"/>
    </row>
    <row r="3" ht="15" customHeight="1" s="197">
      <c r="A3" s="148" t="inlineStr">
        <is>
          <t>תאריך שמירה/הדפסה: 26/1/2026</t>
        </is>
      </c>
      <c r="B3" s="148" t="n"/>
      <c r="C3" s="148" t="n"/>
      <c r="D3" s="148" t="n"/>
      <c r="E3" s="148" t="n"/>
      <c r="F3" s="148" t="n"/>
      <c r="G3" s="148" t="n"/>
      <c r="H3" s="148" t="n"/>
    </row>
    <row r="4">
      <c r="A4" s="148" t="n"/>
      <c r="B4" s="148" t="n"/>
      <c r="C4" s="148" t="n"/>
      <c r="D4" s="148" t="n"/>
      <c r="E4" s="148" t="n"/>
      <c r="F4" s="148" t="n"/>
      <c r="G4" s="148" t="n"/>
      <c r="H4" s="148" t="n"/>
    </row>
    <row r="5" ht="15.75" customHeight="1" s="197">
      <c r="A5" s="128" t="inlineStr">
        <is>
          <t>היתרה</t>
        </is>
      </c>
      <c r="B5" s="128" t="n"/>
      <c r="C5" s="128" t="inlineStr">
        <is>
          <t>מסגרת האשראי</t>
        </is>
      </c>
      <c r="D5" s="128" t="n"/>
      <c r="E5" s="128" t="inlineStr">
        <is>
          <t>נכון לתאריך</t>
        </is>
      </c>
      <c r="F5" s="128" t="n"/>
      <c r="G5" s="148" t="n"/>
      <c r="H5" s="148" t="n"/>
    </row>
    <row r="6">
      <c r="A6" s="148" t="n"/>
      <c r="B6" s="148" t="n"/>
      <c r="C6" s="148" t="n"/>
      <c r="D6" s="148" t="n"/>
      <c r="E6" s="148" t="n"/>
      <c r="F6" s="148" t="n"/>
      <c r="G6" s="148" t="n"/>
      <c r="H6" s="148" t="n"/>
    </row>
    <row r="7" ht="15" customHeight="1" s="197">
      <c r="A7" s="129" t="inlineStr">
        <is>
          <t>₪ 41,308.48</t>
        </is>
      </c>
      <c r="B7" s="129" t="n"/>
      <c r="C7" s="129" t="inlineStr">
        <is>
          <t>₪ 0.00</t>
        </is>
      </c>
      <c r="D7" s="129" t="n"/>
      <c r="E7" s="129" t="inlineStr">
        <is>
          <t>26.01.26</t>
        </is>
      </c>
      <c r="F7" s="129" t="n"/>
      <c r="G7" s="148" t="n"/>
      <c r="H7" s="148" t="n"/>
    </row>
    <row r="8">
      <c r="A8" s="130" t="n"/>
      <c r="B8" s="130" t="n"/>
      <c r="C8" s="130" t="n"/>
      <c r="D8" s="130" t="n"/>
      <c r="E8" s="130" t="n"/>
      <c r="F8" s="130" t="n"/>
      <c r="G8" s="130" t="n"/>
      <c r="H8" s="130" t="n"/>
    </row>
    <row r="9">
      <c r="A9" s="130" t="n"/>
      <c r="B9" s="130" t="n"/>
      <c r="C9" s="130" t="n"/>
      <c r="D9" s="130" t="n"/>
      <c r="E9" s="130" t="n"/>
      <c r="F9" s="130" t="n"/>
      <c r="G9" s="130" t="n"/>
      <c r="H9" s="130" t="n"/>
    </row>
    <row r="10">
      <c r="A10" s="130" t="n"/>
      <c r="B10" s="130" t="n"/>
      <c r="C10" s="130" t="n"/>
      <c r="D10" s="130" t="n"/>
      <c r="E10" s="130" t="n"/>
      <c r="F10" s="130" t="n"/>
      <c r="G10" s="130" t="n"/>
      <c r="H10" s="130" t="n"/>
    </row>
    <row r="11" ht="15" customHeight="1" s="197">
      <c r="A11" s="129" t="inlineStr">
        <is>
          <t>תנועות בחשבון</t>
        </is>
      </c>
      <c r="B11" s="129" t="n"/>
      <c r="C11" s="129" t="n"/>
      <c r="D11" s="129" t="n"/>
      <c r="E11" s="129" t="n"/>
      <c r="F11" s="129" t="n"/>
      <c r="G11" s="129" t="n"/>
      <c r="H11" s="129" t="n"/>
    </row>
    <row r="12">
      <c r="A12" s="129" t="inlineStr">
        <is>
          <t>תאריך</t>
        </is>
      </c>
      <c r="B12" s="129" t="inlineStr">
        <is>
          <t>תאריך ערך</t>
        </is>
      </c>
      <c r="C12" s="129" t="inlineStr">
        <is>
          <t>תיאור</t>
        </is>
      </c>
      <c r="D12" s="129" t="inlineStr">
        <is>
          <t>אסמכתא</t>
        </is>
      </c>
      <c r="E12" s="129" t="inlineStr">
        <is>
          <t>בחובה</t>
        </is>
      </c>
      <c r="F12" s="129" t="inlineStr">
        <is>
          <t>בזכות</t>
        </is>
      </c>
      <c r="G12" s="129" t="inlineStr">
        <is>
          <t>היתרה בש"ח</t>
        </is>
      </c>
      <c r="H12" s="129" t="inlineStr">
        <is>
          <t>תאור מורחב</t>
        </is>
      </c>
    </row>
    <row r="13" customFormat="1" s="4">
      <c r="A13" s="2" t="n">
        <v>46023</v>
      </c>
      <c r="B13" s="2" t="n">
        <v>46023</v>
      </c>
      <c r="C13" s="4" t="inlineStr">
        <is>
          <t>בנק הפועלים</t>
        </is>
      </c>
      <c r="D13" s="4" t="n">
        <v>99012</v>
      </c>
      <c r="E13" s="4" t="n">
        <v>0</v>
      </c>
      <c r="F13" s="4" t="n">
        <v>320</v>
      </c>
      <c r="G13" s="3" t="n">
        <v>30014.31</v>
      </c>
      <c r="H13" s="4" t="inlineStr">
        <is>
          <t>העברה מאת: ברייב יולי 12-701-000404014 ועד בית</t>
        </is>
      </c>
    </row>
    <row r="14" customFormat="1" s="1">
      <c r="A14" s="122" t="n">
        <v>46023</v>
      </c>
      <c r="B14" s="122" t="n">
        <v>46023</v>
      </c>
      <c r="C14" s="120" t="inlineStr">
        <is>
          <t>בנק הפועלים</t>
        </is>
      </c>
      <c r="D14" s="120" t="n">
        <v>99012</v>
      </c>
      <c r="E14" s="120" t="n">
        <v>0</v>
      </c>
      <c r="F14" s="120" t="n">
        <v>700</v>
      </c>
      <c r="G14" s="121" t="n">
        <v>30714.31</v>
      </c>
      <c r="H14" s="120" t="inlineStr">
        <is>
          <t>העברה מאת: לגסה סיטוטאו יטא 12-700-000089393 ועד בית</t>
        </is>
      </c>
    </row>
    <row r="15" customFormat="1" s="1">
      <c r="A15" s="122" t="n">
        <v>46023</v>
      </c>
      <c r="B15" s="122" t="n">
        <v>46023</v>
      </c>
      <c r="C15" s="120" t="inlineStr">
        <is>
          <t>מהבינלאומי ס-י</t>
        </is>
      </c>
      <c r="D15" s="120" t="n">
        <v>99031</v>
      </c>
      <c r="E15" s="120" t="n">
        <v>0</v>
      </c>
      <c r="F15" s="120" t="n">
        <v>500</v>
      </c>
      <c r="G15" s="121" t="n">
        <v>31214.31</v>
      </c>
      <c r="H15" s="120" t="inlineStr">
        <is>
          <t>העברה מאת: וילצר סופיה ו/או 31-007-105949663 קופה קטנה של בוריס (הערת לקוח)</t>
        </is>
      </c>
    </row>
    <row r="16" customFormat="1" s="4">
      <c r="A16" s="2" t="n">
        <v>46023</v>
      </c>
      <c r="B16" s="2" t="n">
        <v>46023</v>
      </c>
      <c r="C16" s="4" t="inlineStr">
        <is>
          <t>הוראת קבע</t>
        </is>
      </c>
      <c r="D16" s="4" t="n">
        <v>4873628</v>
      </c>
      <c r="E16" s="4" t="n">
        <v>0</v>
      </c>
      <c r="F16" s="4" t="n">
        <v>350</v>
      </c>
      <c r="G16" s="3" t="n">
        <v>31564.31</v>
      </c>
      <c r="H16" s="4" t="inlineStr">
        <is>
          <t>העברה מאת: אליזבט בינשטוק, 10-891-003641132 תשלום בהוראת קבע</t>
        </is>
      </c>
    </row>
    <row r="17" customFormat="1" s="17">
      <c r="A17" s="18" t="n">
        <v>46023</v>
      </c>
      <c r="B17" s="18" t="n">
        <v>46023</v>
      </c>
      <c r="C17" s="17" t="inlineStr">
        <is>
          <t>מסלול מורחב</t>
        </is>
      </c>
      <c r="D17" s="17" t="n">
        <v>44924</v>
      </c>
      <c r="E17" s="17" t="n">
        <v>25</v>
      </c>
      <c r="F17" s="17" t="n">
        <v>0</v>
      </c>
      <c r="G17" s="19" t="n">
        <v>31539.31</v>
      </c>
    </row>
    <row r="18" customFormat="1" s="17">
      <c r="A18" s="18" t="n">
        <v>46023</v>
      </c>
      <c r="B18" s="18" t="n">
        <v>46023</v>
      </c>
      <c r="C18" s="17" t="inlineStr">
        <is>
          <t>עמל.ערוץ יש 9</t>
        </is>
      </c>
      <c r="D18" s="17" t="n">
        <v>9</v>
      </c>
      <c r="E18" s="17" t="n">
        <v>14.85</v>
      </c>
      <c r="F18" s="17" t="n">
        <v>0</v>
      </c>
      <c r="G18" s="19" t="n">
        <v>31524.46</v>
      </c>
      <c r="H18" s="17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</row>
    <row r="19" customFormat="1" s="17">
      <c r="A19" s="18" t="n">
        <v>46023</v>
      </c>
      <c r="B19" s="18" t="n">
        <v>46023</v>
      </c>
      <c r="C19" s="17" t="inlineStr">
        <is>
          <t>הע. אינטרנט</t>
        </is>
      </c>
      <c r="D19" s="17" t="n">
        <v>2419</v>
      </c>
      <c r="E19" s="17" t="n">
        <v>606</v>
      </c>
      <c r="F19" s="17" t="n">
        <v>0</v>
      </c>
      <c r="G19" s="19" t="n">
        <v>30918.46</v>
      </c>
      <c r="H19" s="17" t="inlineStr">
        <is>
          <t>העברה אל: טיבה בטיחות במעל 12-747-000313530 חשבונית 504979</t>
        </is>
      </c>
    </row>
    <row r="20" customFormat="1" s="4">
      <c r="A20" s="2" t="n">
        <v>46054</v>
      </c>
      <c r="B20" s="2" t="n">
        <v>46054</v>
      </c>
      <c r="C20" s="4" t="inlineStr">
        <is>
          <t>בנק הפועלים</t>
        </is>
      </c>
      <c r="D20" s="4" t="n">
        <v>99012</v>
      </c>
      <c r="E20" s="4" t="n">
        <v>0</v>
      </c>
      <c r="F20" s="4" t="n">
        <v>350</v>
      </c>
      <c r="G20" s="3" t="n">
        <v>31268.46</v>
      </c>
      <c r="H20" s="4" t="inlineStr">
        <is>
          <t>העברה מאת: רועי ולי-ש 12-700-000616685 ועד בית</t>
        </is>
      </c>
    </row>
    <row r="21" customFormat="1" s="4">
      <c r="A21" s="2" t="n">
        <v>46054</v>
      </c>
      <c r="B21" s="2" t="n">
        <v>46054</v>
      </c>
      <c r="C21" s="4" t="inlineStr">
        <is>
          <t>בנק הפועלים</t>
        </is>
      </c>
      <c r="D21" s="4" t="n">
        <v>99012</v>
      </c>
      <c r="E21" s="4" t="n">
        <v>0</v>
      </c>
      <c r="F21" s="4" t="n">
        <v>350</v>
      </c>
      <c r="G21" s="3" t="n">
        <v>31618.46</v>
      </c>
      <c r="H21" s="4" t="inlineStr">
        <is>
          <t>העברה מאת: מנגיסטו דג 12-703-000091338 לוועד הבית</t>
        </is>
      </c>
    </row>
    <row r="22" customFormat="1" s="4">
      <c r="A22" s="2" t="n">
        <v>46054</v>
      </c>
      <c r="B22" s="2" t="n">
        <v>46054</v>
      </c>
      <c r="C22" s="4" t="inlineStr">
        <is>
          <t>הוראת קבע</t>
        </is>
      </c>
      <c r="D22" s="4" t="n">
        <v>4668970</v>
      </c>
      <c r="E22" s="4" t="n">
        <v>0</v>
      </c>
      <c r="F22" s="4" t="n">
        <v>350</v>
      </c>
      <c r="G22" s="3" t="n">
        <v>31968.46</v>
      </c>
      <c r="H22" s="4" t="inlineStr">
        <is>
          <t>העברה מאת: פריידמן נטליה 10-882-044876260 תשלום</t>
        </is>
      </c>
    </row>
    <row r="23" customFormat="1" s="17">
      <c r="A23" s="18" t="n">
        <v>46054</v>
      </c>
      <c r="B23" s="18" t="n">
        <v>46054</v>
      </c>
      <c r="C23" s="17" t="inlineStr">
        <is>
          <t>העברה דיגיטל</t>
        </is>
      </c>
      <c r="D23" s="17" t="n">
        <v>86770</v>
      </c>
      <c r="E23" s="19" t="n">
        <v>10266</v>
      </c>
      <c r="F23" s="17" t="n">
        <v>0</v>
      </c>
      <c r="G23" s="19" t="n">
        <v>21702.46</v>
      </c>
      <c r="H23" s="17" t="inlineStr">
        <is>
          <t>העברה אל: גלים שה תחזוקה 31-022-000080204 מנוע מפוח האגמית 7</t>
        </is>
      </c>
    </row>
    <row r="24" customFormat="1" s="1">
      <c r="A24" s="122" t="n">
        <v>46113</v>
      </c>
      <c r="B24" s="122" t="n">
        <v>46113</v>
      </c>
      <c r="C24" s="120" t="inlineStr">
        <is>
          <t>הפקדת שיק</t>
        </is>
      </c>
      <c r="D24" s="120" t="n">
        <v>53458</v>
      </c>
      <c r="E24" s="120" t="n">
        <v>0</v>
      </c>
      <c r="F24" s="120" t="n">
        <v>320</v>
      </c>
      <c r="G24" s="121" t="n">
        <v>22022.46</v>
      </c>
      <c r="H24" s="123" t="n"/>
    </row>
    <row r="25" customFormat="1" s="1">
      <c r="A25" s="122" t="n">
        <v>46113</v>
      </c>
      <c r="B25" s="122" t="n">
        <v>46113</v>
      </c>
      <c r="C25" s="120" t="inlineStr">
        <is>
          <t>הפקדת שיק</t>
        </is>
      </c>
      <c r="D25" s="120" t="n">
        <v>120988</v>
      </c>
      <c r="E25" s="120" t="n">
        <v>0</v>
      </c>
      <c r="F25" s="120" t="n">
        <v>350</v>
      </c>
      <c r="G25" s="121" t="n">
        <v>22372.46</v>
      </c>
      <c r="H25" s="123" t="n"/>
    </row>
    <row r="26" customFormat="1" s="4">
      <c r="A26" s="2" t="n">
        <v>46113</v>
      </c>
      <c r="B26" s="2" t="n">
        <v>46113</v>
      </c>
      <c r="C26" s="4" t="inlineStr">
        <is>
          <t>הוראת קבע</t>
        </is>
      </c>
      <c r="D26" s="4" t="n">
        <v>4878373</v>
      </c>
      <c r="E26" s="4" t="n">
        <v>0</v>
      </c>
      <c r="F26" s="4" t="n">
        <v>350</v>
      </c>
      <c r="G26" s="3" t="n">
        <v>22722.46</v>
      </c>
      <c r="H26" s="4" t="inlineStr">
        <is>
          <t>העברה מאת: גל ברזני, שני ול 10-635-001111123 וועד בית דירה 56</t>
        </is>
      </c>
    </row>
    <row r="27" customFormat="1" s="4">
      <c r="A27" s="2" t="n">
        <v>46143</v>
      </c>
      <c r="B27" s="2" t="n">
        <v>46143</v>
      </c>
      <c r="C27" s="4" t="inlineStr">
        <is>
          <t>בנק דיסקונט</t>
        </is>
      </c>
      <c r="D27" s="4" t="n">
        <v>99011</v>
      </c>
      <c r="E27" s="4" t="n">
        <v>0</v>
      </c>
      <c r="F27" s="4" t="n">
        <v>320</v>
      </c>
      <c r="G27" s="3" t="n">
        <v>23042.46</v>
      </c>
      <c r="H27" s="4" t="inlineStr">
        <is>
          <t>העברה מאת: אסרף אורטל 11-107-081754738</t>
        </is>
      </c>
    </row>
    <row r="28" customFormat="1" s="4">
      <c r="A28" s="2" t="n">
        <v>46143</v>
      </c>
      <c r="B28" s="2" t="n">
        <v>46143</v>
      </c>
      <c r="C28" s="4" t="inlineStr">
        <is>
          <t>בנק אוצר החיל</t>
        </is>
      </c>
      <c r="D28" s="4" t="n">
        <v>99014</v>
      </c>
      <c r="E28" s="4" t="n">
        <v>0</v>
      </c>
      <c r="F28" s="4" t="n">
        <v>350</v>
      </c>
      <c r="G28" s="3" t="n">
        <v>23392.46</v>
      </c>
      <c r="H28" s="4" t="inlineStr">
        <is>
          <t>העברה מאת: כחלון שלו ו/או ח 14-350-105236062 וועד בית דירה 25 (הערת לקוח)</t>
        </is>
      </c>
    </row>
    <row r="29" customFormat="1" s="4">
      <c r="A29" s="2" t="n">
        <v>46143</v>
      </c>
      <c r="B29" s="2" t="n">
        <v>46143</v>
      </c>
      <c r="C29" s="4" t="inlineStr">
        <is>
          <t>הוראת קבע</t>
        </is>
      </c>
      <c r="D29" s="4" t="n">
        <v>4789577</v>
      </c>
      <c r="E29" s="4" t="n">
        <v>0</v>
      </c>
      <c r="F29" s="4" t="n">
        <v>350</v>
      </c>
      <c r="G29" s="3" t="n">
        <v>23742.46</v>
      </c>
      <c r="H29" s="4" t="inlineStr">
        <is>
          <t>העברה מאת: קטרינה שליאק 10-838-002943311 דירה 43 משפחת שליאק</t>
        </is>
      </c>
    </row>
    <row r="30" customFormat="1" s="1">
      <c r="A30" s="122" t="n">
        <v>46174</v>
      </c>
      <c r="B30" s="122" t="n">
        <v>46174</v>
      </c>
      <c r="C30" s="120" t="inlineStr">
        <is>
          <t>בנק הפועלים</t>
        </is>
      </c>
      <c r="D30" s="120" t="n">
        <v>99012</v>
      </c>
      <c r="E30" s="120" t="n">
        <v>0</v>
      </c>
      <c r="F30" s="120" t="n">
        <v>350</v>
      </c>
      <c r="G30" s="121" t="n">
        <v>24092.46</v>
      </c>
      <c r="H30" s="120" t="inlineStr">
        <is>
          <t>העברה מאת: אל איי הנדסת בטי 12-703-000496840 ועד דירה 57</t>
        </is>
      </c>
    </row>
    <row r="31" customFormat="1" s="4">
      <c r="A31" s="2" t="n">
        <v>46174</v>
      </c>
      <c r="B31" s="2" t="n">
        <v>46174</v>
      </c>
      <c r="C31" s="4" t="inlineStr">
        <is>
          <t>הוראת קבע</t>
        </is>
      </c>
      <c r="D31" s="4" t="n">
        <v>4870113</v>
      </c>
      <c r="E31" s="4" t="n">
        <v>0</v>
      </c>
      <c r="F31" s="4" t="n">
        <v>350</v>
      </c>
      <c r="G31" s="3" t="n">
        <v>24442.46</v>
      </c>
      <c r="H31" s="4" t="inlineStr">
        <is>
          <t>העברה מאת: היבה ריזק 10-840-002040614 ועד בית דירה 32 קומה 7</t>
        </is>
      </c>
    </row>
    <row r="32" customFormat="1" s="1">
      <c r="A32" s="122" t="n">
        <v>46204</v>
      </c>
      <c r="B32" s="122" t="n">
        <v>46204</v>
      </c>
      <c r="C32" s="120" t="inlineStr">
        <is>
          <t>מבנק יהב ס.-י</t>
        </is>
      </c>
      <c r="D32" s="120" t="n">
        <v>99004</v>
      </c>
      <c r="E32" s="120" t="n">
        <v>0</v>
      </c>
      <c r="F32" s="120" t="n">
        <v>420</v>
      </c>
      <c r="G32" s="121" t="n">
        <v>24862.46</v>
      </c>
      <c r="H32" s="120" t="inlineStr">
        <is>
          <t>העברה מאת: מנצור אלירן אלבר 04-140-000303334 26וכל 25עבור נוב דצ 12דירה 350ל</t>
        </is>
      </c>
    </row>
    <row r="33" customFormat="1" s="23">
      <c r="A33" s="141" t="n">
        <v>46235</v>
      </c>
      <c r="B33" s="141" t="n">
        <v>46235</v>
      </c>
      <c r="C33" s="23" t="inlineStr">
        <is>
          <t>איי.די. אי ח-י</t>
        </is>
      </c>
      <c r="D33" s="23" t="n">
        <v>91456</v>
      </c>
      <c r="E33" s="23" t="n">
        <v>0</v>
      </c>
      <c r="F33" s="115" t="n">
        <v>17503.5</v>
      </c>
      <c r="G33" s="115" t="n">
        <v>42365.96</v>
      </c>
      <c r="H33" s="23" t="inlineStr">
        <is>
          <t>העברה מאת: איי.די.אי 20-494-000201250 זיכוי</t>
        </is>
      </c>
    </row>
    <row r="34" customFormat="1" s="4">
      <c r="A34" s="2" t="n">
        <v>46235</v>
      </c>
      <c r="B34" s="2" t="n">
        <v>46235</v>
      </c>
      <c r="C34" s="4" t="inlineStr">
        <is>
          <t>בנק הפועלים</t>
        </is>
      </c>
      <c r="D34" s="4" t="n">
        <v>99012</v>
      </c>
      <c r="E34" s="4" t="n">
        <v>0</v>
      </c>
      <c r="F34" s="4" t="n">
        <v>350</v>
      </c>
      <c r="G34" s="3" t="n">
        <v>42715.96</v>
      </c>
      <c r="H34" s="4" t="inlineStr">
        <is>
          <t>העברה מאת: סיגלוב דמיטרי או 12-703-000021291 דירה 34 סיגלוב</t>
        </is>
      </c>
    </row>
    <row r="35" customFormat="1" s="4">
      <c r="A35" s="2" t="n">
        <v>46266</v>
      </c>
      <c r="B35" s="2" t="n">
        <v>46266</v>
      </c>
      <c r="C35" s="4" t="inlineStr">
        <is>
          <t>בנק הפועלים</t>
        </is>
      </c>
      <c r="D35" s="4" t="n">
        <v>99012</v>
      </c>
      <c r="E35" s="4" t="n">
        <v>0</v>
      </c>
      <c r="F35" s="4" t="n">
        <v>320</v>
      </c>
      <c r="G35" s="3" t="n">
        <v>43035.96</v>
      </c>
      <c r="H35" s="4" t="inlineStr">
        <is>
          <t>העברה מאת: אסולין יעק 12-704-000263394 ועד בית</t>
        </is>
      </c>
    </row>
    <row r="36" customFormat="1" s="4">
      <c r="A36" s="2" t="n">
        <v>46266</v>
      </c>
      <c r="B36" s="2" t="n">
        <v>46266</v>
      </c>
      <c r="C36" s="4" t="inlineStr">
        <is>
          <t>בנק הפועלים</t>
        </is>
      </c>
      <c r="D36" s="4" t="n">
        <v>99012</v>
      </c>
      <c r="E36" s="4" t="n">
        <v>0</v>
      </c>
      <c r="F36" s="4" t="n">
        <v>350</v>
      </c>
      <c r="G36" s="3" t="n">
        <v>43385.96</v>
      </c>
      <c r="H36" s="4" t="inlineStr">
        <is>
          <t>העברה מאת: בייבקוב קו 12-701-000262613 דירה 9</t>
        </is>
      </c>
    </row>
    <row r="37" customFormat="1" s="4">
      <c r="A37" s="2" t="n">
        <v>46266</v>
      </c>
      <c r="B37" s="2" t="n">
        <v>46266</v>
      </c>
      <c r="C37" s="4" t="inlineStr">
        <is>
          <t>בנק הפועלים</t>
        </is>
      </c>
      <c r="D37" s="4" t="n">
        <v>99012</v>
      </c>
      <c r="E37" s="4" t="n">
        <v>0</v>
      </c>
      <c r="F37" s="4" t="n">
        <v>350</v>
      </c>
      <c r="G37" s="3" t="n">
        <v>43735.96</v>
      </c>
      <c r="H37" s="4" t="inlineStr">
        <is>
          <t>העברה מאת: אל איי הנד 12-703-000496840 ועד דירה 57</t>
        </is>
      </c>
    </row>
    <row r="38" customFormat="1" s="4">
      <c r="A38" s="2" t="n">
        <v>46266</v>
      </c>
      <c r="B38" s="2" t="n">
        <v>46266</v>
      </c>
      <c r="C38" s="4" t="inlineStr">
        <is>
          <t>בנק הפועלים</t>
        </is>
      </c>
      <c r="D38" s="4" t="n">
        <v>99012</v>
      </c>
      <c r="E38" s="4" t="n">
        <v>0</v>
      </c>
      <c r="F38" s="4" t="n">
        <v>350</v>
      </c>
      <c r="G38" s="3" t="n">
        <v>44085.96</v>
      </c>
      <c r="H38" s="4" t="inlineStr">
        <is>
          <t>העברה מאת: פולונסקי א 12-728-000012111 דירה 52</t>
        </is>
      </c>
    </row>
    <row r="39" customFormat="1" s="4">
      <c r="A39" s="2" t="n">
        <v>46266</v>
      </c>
      <c r="B39" s="2" t="n">
        <v>46266</v>
      </c>
      <c r="C39" s="4" t="inlineStr">
        <is>
          <t>בנק הפועלים</t>
        </is>
      </c>
      <c r="D39" s="4" t="n">
        <v>99012</v>
      </c>
      <c r="E39" s="4" t="n">
        <v>0</v>
      </c>
      <c r="F39" s="4" t="n">
        <v>350</v>
      </c>
      <c r="G39" s="3" t="n">
        <v>44435.96</v>
      </c>
      <c r="H39" s="4" t="inlineStr">
        <is>
          <t>העברה מאת: מוגילבסקי 12-728-000685973 תשלום וועד דירה 55</t>
        </is>
      </c>
    </row>
    <row r="40" customFormat="1" s="4">
      <c r="A40" s="2" t="n">
        <v>46266</v>
      </c>
      <c r="B40" s="2" t="n">
        <v>46266</v>
      </c>
      <c r="C40" s="4" t="inlineStr">
        <is>
          <t>הוראת קבע</t>
        </is>
      </c>
      <c r="D40" s="4" t="n">
        <v>4763312</v>
      </c>
      <c r="E40" s="4" t="n">
        <v>0</v>
      </c>
      <c r="F40" s="4" t="n">
        <v>350</v>
      </c>
      <c r="G40" s="3" t="n">
        <v>44785.96</v>
      </c>
      <c r="H40" s="4" t="inlineStr">
        <is>
          <t>העברה מאת: יוספה אמור, בנימ 10-885-000271821 תשלום בהוראת קבע</t>
        </is>
      </c>
    </row>
    <row r="41" customFormat="1" s="4">
      <c r="A41" s="2" t="n">
        <v>46266</v>
      </c>
      <c r="B41" s="2" t="n">
        <v>46266</v>
      </c>
      <c r="C41" s="4" t="inlineStr">
        <is>
          <t>הוראת קבע</t>
        </is>
      </c>
      <c r="D41" s="4" t="n">
        <v>4899758</v>
      </c>
      <c r="E41" s="4" t="n">
        <v>0</v>
      </c>
      <c r="F41" s="4" t="n">
        <v>350</v>
      </c>
      <c r="G41" s="3" t="n">
        <v>45135.96</v>
      </c>
      <c r="H41" s="4" t="inlineStr">
        <is>
          <t>העברה מאת: וולושין אלכסנדר 10-879-057984481 ועד בית</t>
        </is>
      </c>
    </row>
    <row r="42" customFormat="1" s="17">
      <c r="A42" s="18" t="n">
        <v>46327</v>
      </c>
      <c r="B42" s="18" t="n">
        <v>46327</v>
      </c>
      <c r="C42" s="17" t="inlineStr">
        <is>
          <t>ש.שלמה חברה-י</t>
        </is>
      </c>
      <c r="D42" s="17" t="n">
        <v>44855</v>
      </c>
      <c r="E42" s="17" t="n">
        <v>981</v>
      </c>
      <c r="F42" s="17" t="n">
        <v>0</v>
      </c>
      <c r="G42" s="19" t="n">
        <v>44154.96</v>
      </c>
    </row>
    <row r="43" customFormat="1" s="4">
      <c r="A43" s="2" t="n">
        <v>46327</v>
      </c>
      <c r="B43" s="2" t="n">
        <v>46327</v>
      </c>
      <c r="C43" s="4" t="inlineStr">
        <is>
          <t>בנק דיסקונט</t>
        </is>
      </c>
      <c r="D43" s="4" t="n">
        <v>99011</v>
      </c>
      <c r="E43" s="4" t="n">
        <v>0</v>
      </c>
      <c r="F43" s="4" t="n">
        <v>350</v>
      </c>
      <c r="G43" s="3" t="n">
        <v>44504.96</v>
      </c>
      <c r="H43" s="4" t="inlineStr">
        <is>
          <t>העברה מאת: סימקין טרוסטיאני 11-097-132698643 ועד הבית - סימקין דירה 21</t>
        </is>
      </c>
    </row>
    <row r="44" customFormat="1" s="4">
      <c r="A44" s="2" t="n">
        <v>46327</v>
      </c>
      <c r="B44" s="2" t="n">
        <v>46327</v>
      </c>
      <c r="C44" s="4" t="inlineStr">
        <is>
          <t>בנק דיסקונט</t>
        </is>
      </c>
      <c r="D44" s="4" t="n">
        <v>99011</v>
      </c>
      <c r="E44" s="4" t="n">
        <v>0</v>
      </c>
      <c r="F44" s="4" t="n">
        <v>350</v>
      </c>
      <c r="G44" s="3" t="n">
        <v>44854.96</v>
      </c>
      <c r="H44" s="4" t="inlineStr">
        <is>
          <t>העברה מאת: רומנו לינצקי סיו 11-107-075555974</t>
        </is>
      </c>
    </row>
    <row r="45" customFormat="1" s="4">
      <c r="A45" s="2" t="n">
        <v>46327</v>
      </c>
      <c r="B45" s="2" t="n">
        <v>46327</v>
      </c>
      <c r="C45" s="4" t="inlineStr">
        <is>
          <t>בנק דיסקונט</t>
        </is>
      </c>
      <c r="D45" s="4" t="n">
        <v>99011</v>
      </c>
      <c r="E45" s="4" t="n">
        <v>0</v>
      </c>
      <c r="F45" s="4" t="n">
        <v>350</v>
      </c>
      <c r="G45" s="3" t="n">
        <v>45204.96</v>
      </c>
      <c r="H45" s="4" t="inlineStr">
        <is>
          <t>העברה מאת: שרביט גל,טויזר נ 11-107-205119303 דירה 60</t>
        </is>
      </c>
    </row>
    <row r="46" customFormat="1" s="4">
      <c r="A46" s="2" t="n">
        <v>46327</v>
      </c>
      <c r="B46" s="2" t="n">
        <v>46327</v>
      </c>
      <c r="C46" s="4" t="inlineStr">
        <is>
          <t>בנק אוצר החיל</t>
        </is>
      </c>
      <c r="D46" s="4" t="n">
        <v>99014</v>
      </c>
      <c r="E46" s="4" t="n">
        <v>0</v>
      </c>
      <c r="F46" s="4" t="n">
        <v>350</v>
      </c>
      <c r="G46" s="3" t="n">
        <v>45554.96</v>
      </c>
      <c r="H46" s="4" t="inlineStr">
        <is>
          <t>העברה מאת: כהן אביאל 14-350-000175551 ועד בית</t>
        </is>
      </c>
    </row>
    <row r="47" customFormat="1" s="4">
      <c r="A47" s="2" t="n">
        <v>46327</v>
      </c>
      <c r="B47" s="2" t="n">
        <v>46327</v>
      </c>
      <c r="C47" s="4" t="inlineStr">
        <is>
          <t>בנק אוצר החיל</t>
        </is>
      </c>
      <c r="D47" s="4" t="n">
        <v>99014</v>
      </c>
      <c r="E47" s="4" t="n">
        <v>0</v>
      </c>
      <c r="F47" s="4" t="n">
        <v>350</v>
      </c>
      <c r="G47" s="3" t="n">
        <v>45904.96</v>
      </c>
      <c r="H47" s="4" t="inlineStr">
        <is>
          <t>העברה מאת: זלץ ניר ו/או נט 14-362-105079420 העברה לוועד בית</t>
        </is>
      </c>
    </row>
    <row r="48" customFormat="1" s="4">
      <c r="A48" s="2" t="n">
        <v>46327</v>
      </c>
      <c r="B48" s="2" t="n">
        <v>46327</v>
      </c>
      <c r="C48" s="4" t="inlineStr">
        <is>
          <t>בנק אוצר החיל</t>
        </is>
      </c>
      <c r="D48" s="4" t="n">
        <v>99014</v>
      </c>
      <c r="E48" s="4" t="n">
        <v>0</v>
      </c>
      <c r="F48" s="4" t="n">
        <v>350</v>
      </c>
      <c r="G48" s="3" t="n">
        <v>46254.96</v>
      </c>
      <c r="H48" s="4" t="inlineStr">
        <is>
          <t>העברה מאת: איטח ענת ו/או רפ 14-362-000321489 איטח ענת ורפי</t>
        </is>
      </c>
    </row>
    <row r="49" customFormat="1" s="4">
      <c r="A49" s="2" t="n">
        <v>46327</v>
      </c>
      <c r="B49" s="2" t="n">
        <v>46327</v>
      </c>
      <c r="C49" s="4" t="inlineStr">
        <is>
          <t>בנק מזרחי</t>
        </is>
      </c>
      <c r="D49" s="4" t="n">
        <v>99020</v>
      </c>
      <c r="E49" s="4" t="n">
        <v>0</v>
      </c>
      <c r="F49" s="4" t="n">
        <v>350</v>
      </c>
      <c r="G49" s="3" t="n">
        <v>46604.96</v>
      </c>
      <c r="H49" s="4" t="inlineStr">
        <is>
          <t>העברה מאת: וולמיר רות ואלכס 20-441-000075228 עבור דירה 7</t>
        </is>
      </c>
    </row>
    <row r="50" customFormat="1" s="4">
      <c r="A50" s="2" t="n">
        <v>46327</v>
      </c>
      <c r="B50" s="2" t="n">
        <v>46327</v>
      </c>
      <c r="C50" s="4" t="inlineStr">
        <is>
          <t>הוראת קבע</t>
        </is>
      </c>
      <c r="D50" s="4" t="n">
        <v>4509096</v>
      </c>
      <c r="E50" s="4" t="n">
        <v>0</v>
      </c>
      <c r="F50" s="4" t="n">
        <v>320</v>
      </c>
      <c r="G50" s="3" t="n">
        <v>46924.96</v>
      </c>
      <c r="H50" s="4" t="inlineStr">
        <is>
          <t>העברה מאת: מיכאל זבוליוב, א 10-885-002348011 םולשת</t>
        </is>
      </c>
    </row>
    <row r="51" customFormat="1" s="4">
      <c r="A51" s="2" t="n">
        <v>46327</v>
      </c>
      <c r="B51" s="2" t="n">
        <v>46327</v>
      </c>
      <c r="C51" s="4" t="inlineStr">
        <is>
          <t>הוראת קבע</t>
        </is>
      </c>
      <c r="D51" s="4" t="n">
        <v>4512636</v>
      </c>
      <c r="E51" s="4" t="n">
        <v>0</v>
      </c>
      <c r="F51" s="4" t="n">
        <v>350</v>
      </c>
      <c r="G51" s="3" t="n">
        <v>47274.96</v>
      </c>
      <c r="H51" s="4" t="inlineStr">
        <is>
          <t>העברה מאת: קוטיגרו מיכאל 10-948-057374636 תשלום</t>
        </is>
      </c>
    </row>
    <row r="52" customFormat="1" s="17">
      <c r="A52" s="18" t="n">
        <v>46327</v>
      </c>
      <c r="B52" s="18" t="n">
        <v>46327</v>
      </c>
      <c r="C52" s="17" t="inlineStr">
        <is>
          <t>הוראת קבע</t>
        </is>
      </c>
      <c r="D52" s="17" t="n">
        <v>4801703</v>
      </c>
      <c r="E52" s="17" t="n">
        <v>780.11</v>
      </c>
      <c r="F52" s="17" t="n">
        <v>0</v>
      </c>
      <c r="G52" s="19" t="n">
        <v>46494.85</v>
      </c>
      <c r="H52" s="17" t="inlineStr">
        <is>
          <t>העברה ל: ארדן 12-391-00410504 תאריך סיום: 10.03.2026 ארדן האגמית 7 טירת כרמל</t>
        </is>
      </c>
    </row>
    <row r="53" customFormat="1" s="4">
      <c r="A53" s="2" t="n">
        <v>46327</v>
      </c>
      <c r="B53" s="2" t="n">
        <v>46327</v>
      </c>
      <c r="C53" s="4" t="inlineStr">
        <is>
          <t>הוראת קבע</t>
        </is>
      </c>
      <c r="D53" s="4" t="n">
        <v>4875354</v>
      </c>
      <c r="E53" s="4" t="n">
        <v>0</v>
      </c>
      <c r="F53" s="4" t="n">
        <v>350</v>
      </c>
      <c r="G53" s="3" t="n">
        <v>46844.85</v>
      </c>
      <c r="H53" s="4" t="inlineStr">
        <is>
          <t>העברה מאת: בר ברקת ישראלי, 10-716-002056289 ועד בית דירה 5</t>
        </is>
      </c>
    </row>
    <row r="54" customFormat="1" s="4">
      <c r="A54" s="2" t="n">
        <v>46327</v>
      </c>
      <c r="B54" s="2" t="n">
        <v>46327</v>
      </c>
      <c r="C54" s="4" t="inlineStr">
        <is>
          <t>הוראת קבע</t>
        </is>
      </c>
      <c r="D54" s="4" t="n">
        <v>4883868</v>
      </c>
      <c r="E54" s="4" t="n">
        <v>0</v>
      </c>
      <c r="F54" s="4" t="n">
        <v>350</v>
      </c>
      <c r="G54" s="3" t="n">
        <v>47194.85</v>
      </c>
      <c r="H54" s="4" t="inlineStr">
        <is>
          <t>העברה מאת: לאוניד שכטמן 10-705-012376080 ועד בית</t>
        </is>
      </c>
    </row>
    <row r="55" customFormat="1" s="4">
      <c r="A55" s="2" t="n">
        <v>46327</v>
      </c>
      <c r="B55" s="2" t="n">
        <v>46327</v>
      </c>
      <c r="C55" s="4" t="inlineStr">
        <is>
          <t>הוראת קבע</t>
        </is>
      </c>
      <c r="D55" s="4" t="n">
        <v>4908474</v>
      </c>
      <c r="E55" s="4" t="n">
        <v>0</v>
      </c>
      <c r="F55" s="4" t="n">
        <v>350</v>
      </c>
      <c r="G55" s="3" t="n">
        <v>47544.85</v>
      </c>
      <c r="H55" s="4" t="inlineStr">
        <is>
          <t>העברה מאת: מנגסטה יטמין 10-885-001146229 דירה 8</t>
        </is>
      </c>
    </row>
    <row r="56" customFormat="1" s="17">
      <c r="A56" s="18" t="n">
        <v>46327</v>
      </c>
      <c r="B56" s="18" t="n">
        <v>46327</v>
      </c>
      <c r="C56" s="17" t="inlineStr">
        <is>
          <t>העברה דיגיטל</t>
        </is>
      </c>
      <c r="D56" s="17" t="n">
        <v>256526</v>
      </c>
      <c r="E56" s="19" t="n">
        <v>7500</v>
      </c>
      <c r="F56" s="17" t="n">
        <v>0</v>
      </c>
      <c r="G56" s="19" t="n">
        <v>40044.85</v>
      </c>
      <c r="H56" s="17" t="inlineStr">
        <is>
          <t>העברה אל: גל אנתבי 20-505-000159972 האגמית 7 ינואר 26</t>
        </is>
      </c>
    </row>
    <row r="57" customFormat="1" s="4">
      <c r="A57" s="2" t="n">
        <v>46357</v>
      </c>
      <c r="B57" s="2" t="n">
        <v>46357</v>
      </c>
      <c r="C57" s="4" t="inlineStr">
        <is>
          <t>בנק דיסקונט</t>
        </is>
      </c>
      <c r="D57" s="4" t="n">
        <v>99011</v>
      </c>
      <c r="E57" s="4" t="n">
        <v>0</v>
      </c>
      <c r="F57" s="4" t="n">
        <v>350</v>
      </c>
      <c r="G57" s="3" t="n">
        <v>40394.85</v>
      </c>
      <c r="H57" s="4" t="inlineStr">
        <is>
          <t>העברה מאת: פרחי נדב,פרחי שי 11-107-003913440</t>
        </is>
      </c>
    </row>
    <row r="58" customFormat="1" s="4">
      <c r="A58" s="2" t="n">
        <v>46357</v>
      </c>
      <c r="B58" s="2" t="n">
        <v>46357</v>
      </c>
      <c r="C58" s="4" t="inlineStr">
        <is>
          <t>העברה דיגיטל</t>
        </is>
      </c>
      <c r="D58" s="4" t="n">
        <v>202375</v>
      </c>
      <c r="E58" s="4" t="n">
        <v>0</v>
      </c>
      <c r="F58" s="4" t="n">
        <v>350</v>
      </c>
      <c r="G58" s="3" t="n">
        <v>40744.85</v>
      </c>
      <c r="H58" s="4" t="inlineStr">
        <is>
          <t>העברה מאת: סוזאנה שושנה 10-885-010687480 ועד חודש 1 דירה 22 מישייב</t>
        </is>
      </c>
    </row>
    <row r="59" customFormat="1" s="4">
      <c r="A59" s="4" t="inlineStr">
        <is>
          <t>14/01/2026</t>
        </is>
      </c>
      <c r="B59" s="4" t="inlineStr">
        <is>
          <t>14/01/2026</t>
        </is>
      </c>
      <c r="C59" s="4" t="inlineStr">
        <is>
          <t>בנק אוצר החיל</t>
        </is>
      </c>
      <c r="D59" s="4" t="n">
        <v>99014</v>
      </c>
      <c r="E59" s="4" t="n">
        <v>0</v>
      </c>
      <c r="F59" s="4" t="n">
        <v>350</v>
      </c>
      <c r="G59" s="3" t="n">
        <v>41094.85</v>
      </c>
      <c r="H59" s="4" t="inlineStr">
        <is>
          <t>העברה מאת: מקייס סאספורתס ק 14-362-105318123 וועד (הערת לקוח)</t>
        </is>
      </c>
    </row>
    <row r="60" customFormat="1" s="4">
      <c r="A60" s="4" t="inlineStr">
        <is>
          <t>14/01/2026</t>
        </is>
      </c>
      <c r="B60" s="4" t="inlineStr">
        <is>
          <t>14/01/2026</t>
        </is>
      </c>
      <c r="C60" s="4" t="inlineStr">
        <is>
          <t>מהבינלאומי ס-י</t>
        </is>
      </c>
      <c r="D60" s="4" t="n">
        <v>99031</v>
      </c>
      <c r="E60" s="4" t="n">
        <v>0</v>
      </c>
      <c r="F60" s="4" t="n">
        <v>350</v>
      </c>
      <c r="G60" s="3" t="n">
        <v>41444.85</v>
      </c>
      <c r="H60" s="4" t="inlineStr">
        <is>
          <t>העברה מאת: לב משה ו/או מרקו 31-007-105009100 דירה 24 מש לב (הערת לקוח)</t>
        </is>
      </c>
    </row>
    <row r="61" customFormat="1" s="4">
      <c r="A61" s="4" t="inlineStr">
        <is>
          <t>15/01/2026</t>
        </is>
      </c>
      <c r="B61" s="4" t="inlineStr">
        <is>
          <t>15/01/2026</t>
        </is>
      </c>
      <c r="C61" s="4" t="inlineStr">
        <is>
          <t>מבנק יהב ס.-י</t>
        </is>
      </c>
      <c r="D61" s="4" t="n">
        <v>99004</v>
      </c>
      <c r="E61" s="4" t="n">
        <v>0</v>
      </c>
      <c r="F61" s="4" t="n">
        <v>350</v>
      </c>
      <c r="G61" s="3" t="n">
        <v>41794.85</v>
      </c>
      <c r="H61" s="4" t="inlineStr">
        <is>
          <t>העברה מאת: יונה חמד 04-140-000473912</t>
        </is>
      </c>
    </row>
    <row r="62" customFormat="1" s="4">
      <c r="A62" s="4" t="inlineStr">
        <is>
          <t>15/01/2026</t>
        </is>
      </c>
      <c r="B62" s="4" t="inlineStr">
        <is>
          <t>15/01/2026</t>
        </is>
      </c>
      <c r="C62" s="4" t="inlineStr">
        <is>
          <t>בנק הפועלים</t>
        </is>
      </c>
      <c r="D62" s="4" t="n">
        <v>99012</v>
      </c>
      <c r="E62" s="4" t="n">
        <v>0</v>
      </c>
      <c r="F62" s="4" t="n">
        <v>350</v>
      </c>
      <c r="G62" s="3" t="n">
        <v>42144.85</v>
      </c>
      <c r="H62" s="4" t="inlineStr">
        <is>
          <t>העברה מאת: ממן אושרי 12-703-000364148 תשלום ועד משפחת ממן</t>
        </is>
      </c>
    </row>
    <row r="63" customFormat="1" s="4">
      <c r="A63" s="4" t="inlineStr">
        <is>
          <t>15/01/2026</t>
        </is>
      </c>
      <c r="B63" s="4" t="inlineStr">
        <is>
          <t>15/01/2026</t>
        </is>
      </c>
      <c r="C63" s="4" t="inlineStr">
        <is>
          <t>בנק מזרחי</t>
        </is>
      </c>
      <c r="D63" s="4" t="n">
        <v>99020</v>
      </c>
      <c r="E63" s="4" t="n">
        <v>0</v>
      </c>
      <c r="F63" s="4" t="n">
        <v>350</v>
      </c>
      <c r="G63" s="3" t="n">
        <v>42494.85</v>
      </c>
      <c r="H63" s="4" t="inlineStr">
        <is>
          <t>העברה מאת: בכר שי 20-523-000260701</t>
        </is>
      </c>
    </row>
    <row r="64" customFormat="1" s="4">
      <c r="A64" s="4" t="inlineStr">
        <is>
          <t>15/01/2026</t>
        </is>
      </c>
      <c r="B64" s="4" t="inlineStr">
        <is>
          <t>15/01/2026</t>
        </is>
      </c>
      <c r="C64" s="4" t="inlineStr">
        <is>
          <t>הוראת קבע</t>
        </is>
      </c>
      <c r="D64" s="4" t="n">
        <v>4795693</v>
      </c>
      <c r="E64" s="4" t="n">
        <v>0</v>
      </c>
      <c r="F64" s="4" t="n">
        <v>350</v>
      </c>
      <c r="G64" s="3" t="n">
        <v>42844.85</v>
      </c>
      <c r="H64" s="4" t="inlineStr">
        <is>
          <t>העברה מאת: חן לוי, נתנאל לו 10-885-002439793 שכר דירה</t>
        </is>
      </c>
    </row>
    <row r="65" customFormat="1" s="4">
      <c r="A65" s="4" t="inlineStr">
        <is>
          <t>15/01/2026</t>
        </is>
      </c>
      <c r="B65" s="4" t="inlineStr">
        <is>
          <t>15/01/2026</t>
        </is>
      </c>
      <c r="C65" s="4" t="inlineStr">
        <is>
          <t>הוראת קבע</t>
        </is>
      </c>
      <c r="D65" s="4" t="n">
        <v>4865441</v>
      </c>
      <c r="E65" s="4" t="n">
        <v>0</v>
      </c>
      <c r="F65" s="4" t="n">
        <v>350</v>
      </c>
      <c r="G65" s="3" t="n">
        <v>43194.85</v>
      </c>
      <c r="H65" s="4" t="inlineStr">
        <is>
          <t>העברה מאת: רביבו מאור 10-885-001567984 ועד בית דירה 6</t>
        </is>
      </c>
    </row>
    <row r="66" customFormat="1" s="4">
      <c r="A66" s="4" t="inlineStr">
        <is>
          <t>15/01/2026</t>
        </is>
      </c>
      <c r="B66" s="4" t="inlineStr">
        <is>
          <t>15/01/2026</t>
        </is>
      </c>
      <c r="C66" s="4" t="inlineStr">
        <is>
          <t>הוראת קבע</t>
        </is>
      </c>
      <c r="D66" s="4" t="n">
        <v>4865951</v>
      </c>
      <c r="E66" s="4" t="n">
        <v>0</v>
      </c>
      <c r="F66" s="4" t="n">
        <v>350</v>
      </c>
      <c r="G66" s="3" t="n">
        <v>43544.85</v>
      </c>
      <c r="H66" s="4" t="inlineStr">
        <is>
          <t>העברה מאת: טטיאנה סיגל, אלי 10-882-020472034 תשלום</t>
        </is>
      </c>
    </row>
    <row r="67" customFormat="1" s="4">
      <c r="A67" s="4" t="inlineStr">
        <is>
          <t>15/01/2026</t>
        </is>
      </c>
      <c r="B67" s="4" t="inlineStr">
        <is>
          <t>15/01/2026</t>
        </is>
      </c>
      <c r="C67" s="4" t="inlineStr">
        <is>
          <t>הוראת קבע</t>
        </is>
      </c>
      <c r="D67" s="4" t="n">
        <v>4870920</v>
      </c>
      <c r="E67" s="4" t="n">
        <v>0</v>
      </c>
      <c r="F67" s="4" t="n">
        <v>350</v>
      </c>
      <c r="G67" s="3" t="n">
        <v>43894.85</v>
      </c>
      <c r="H67" s="4" t="inlineStr">
        <is>
          <t>העברה מאת: גלמן אירינה 10-877-002493094 ועד בית</t>
        </is>
      </c>
    </row>
    <row r="68" customFormat="1" s="4">
      <c r="A68" s="4" t="inlineStr">
        <is>
          <t>15/01/2026</t>
        </is>
      </c>
      <c r="B68" s="4" t="inlineStr">
        <is>
          <t>15/01/2026</t>
        </is>
      </c>
      <c r="C68" s="4" t="inlineStr">
        <is>
          <t>הוראת קבע</t>
        </is>
      </c>
      <c r="D68" s="4" t="n">
        <v>4882283</v>
      </c>
      <c r="E68" s="4" t="n">
        <v>0</v>
      </c>
      <c r="F68" s="4" t="n">
        <v>350</v>
      </c>
      <c r="G68" s="3" t="n">
        <v>44244.85</v>
      </c>
      <c r="H68" s="4" t="inlineStr">
        <is>
          <t>העברה מאת: קטרין קוט 10-891-004022651 ועד דירה 51 אריסון</t>
        </is>
      </c>
    </row>
    <row r="69" customFormat="1" s="4">
      <c r="A69" s="4" t="inlineStr">
        <is>
          <t>22/01/2026</t>
        </is>
      </c>
      <c r="B69" s="4" t="inlineStr">
        <is>
          <t>22/01/2026</t>
        </is>
      </c>
      <c r="C69" s="4" t="inlineStr">
        <is>
          <t>בנק הפועלים</t>
        </is>
      </c>
      <c r="D69" s="4" t="n">
        <v>99012</v>
      </c>
      <c r="E69" s="4" t="n">
        <v>0</v>
      </c>
      <c r="F69" s="4" t="n">
        <v>350</v>
      </c>
      <c r="G69" s="3" t="n">
        <v>44594.85</v>
      </c>
      <c r="H69" s="4" t="inlineStr">
        <is>
          <t>העברה מאת: אלייב שלמה -שלומ 12-703-000624018 ועד אגמית ינואר 2026</t>
        </is>
      </c>
    </row>
    <row r="70" customFormat="1" s="17">
      <c r="A70" s="17" t="inlineStr">
        <is>
          <t>25/01/2026</t>
        </is>
      </c>
      <c r="B70" s="17" t="inlineStr">
        <is>
          <t>25/01/2026</t>
        </is>
      </c>
      <c r="C70" s="17" t="inlineStr">
        <is>
          <t>חברת החשמל ל-י</t>
        </is>
      </c>
      <c r="D70" s="17" t="n">
        <v>706</v>
      </c>
      <c r="E70" s="19" t="n">
        <v>3545.6</v>
      </c>
      <c r="F70" s="17" t="n">
        <v>0</v>
      </c>
      <c r="G70" s="19" t="n">
        <v>41049.25</v>
      </c>
    </row>
    <row r="71" customFormat="1" s="17">
      <c r="A71" s="17" t="inlineStr">
        <is>
          <t>25/01/2026</t>
        </is>
      </c>
      <c r="B71" s="17" t="inlineStr">
        <is>
          <t>25/01/2026</t>
        </is>
      </c>
      <c r="C71" s="17" t="inlineStr">
        <is>
          <t>חברת פרטנר ת-י</t>
        </is>
      </c>
      <c r="D71" s="17" t="n">
        <v>31274</v>
      </c>
      <c r="E71" s="17" t="n">
        <v>90.77</v>
      </c>
      <c r="F71" s="17" t="n">
        <v>0</v>
      </c>
      <c r="G71" s="19" t="n">
        <v>40958.48</v>
      </c>
    </row>
    <row r="72" customFormat="1" s="4">
      <c r="A72" s="4" t="inlineStr">
        <is>
          <t>25/01/2026</t>
        </is>
      </c>
      <c r="B72" s="4" t="inlineStr">
        <is>
          <t>25/01/2026</t>
        </is>
      </c>
      <c r="C72" s="4" t="inlineStr">
        <is>
          <t>העברה דיגיטל</t>
        </is>
      </c>
      <c r="D72" s="4" t="n">
        <v>85794</v>
      </c>
      <c r="E72" s="4" t="n">
        <v>0</v>
      </c>
      <c r="F72" s="4" t="n">
        <v>350</v>
      </c>
      <c r="G72" s="3" t="n">
        <v>41308.48</v>
      </c>
      <c r="H72" s="4" t="inlineStr">
        <is>
          <t>העברה מאת: אליאס סמעאן 10-877-003268585 תשלום</t>
        </is>
      </c>
    </row>
    <row r="73" customFormat="1" s="17">
      <c r="A73" s="17" t="inlineStr">
        <is>
          <t>28/01/2026</t>
        </is>
      </c>
      <c r="B73" s="17" t="inlineStr">
        <is>
          <t>28/01/2026</t>
        </is>
      </c>
      <c r="C73" s="17" t="inlineStr">
        <is>
          <t>בזק-הוראות ק-י</t>
        </is>
      </c>
      <c r="D73" s="17" t="n">
        <v>703</v>
      </c>
      <c r="E73" s="17" t="n">
        <v>24.57</v>
      </c>
      <c r="F73" s="17" t="n">
        <v>0</v>
      </c>
      <c r="G73" s="19" t="n">
        <v>41283.91</v>
      </c>
    </row>
    <row r="74" customFormat="1" s="4">
      <c r="A74" s="4" t="inlineStr">
        <is>
          <t>28/01/2026</t>
        </is>
      </c>
      <c r="B74" s="4" t="inlineStr">
        <is>
          <t>28/01/2026</t>
        </is>
      </c>
      <c r="C74" s="4" t="inlineStr">
        <is>
          <t>מרכנתיל די.-י</t>
        </is>
      </c>
      <c r="D74" s="4" t="n">
        <v>99017</v>
      </c>
      <c r="E74" s="4" t="n">
        <v>0</v>
      </c>
      <c r="F74" s="4" t="n">
        <v>320</v>
      </c>
      <c r="G74" s="3" t="n">
        <v>41603.91</v>
      </c>
      <c r="H74" s="4" t="inlineStr">
        <is>
          <t>העברה מאת: בן לולו נטלי 17-662-098353502</t>
        </is>
      </c>
    </row>
    <row r="75" customFormat="1" s="4">
      <c r="A75" s="4" t="inlineStr">
        <is>
          <t>28/01/2026</t>
        </is>
      </c>
      <c r="B75" s="4" t="inlineStr">
        <is>
          <t>28/01/2026</t>
        </is>
      </c>
      <c r="C75" s="4" t="inlineStr">
        <is>
          <t>העברה דיגיטל</t>
        </is>
      </c>
      <c r="D75" s="4" t="n">
        <v>127532</v>
      </c>
      <c r="E75" s="4" t="n">
        <v>0</v>
      </c>
      <c r="F75" s="4" t="n">
        <v>350</v>
      </c>
      <c r="G75" s="3" t="n">
        <v>41953.91</v>
      </c>
      <c r="H75" s="4" t="inlineStr">
        <is>
          <t>העברה מאת: פיליפ אלברט 10-916-004497512</t>
        </is>
      </c>
    </row>
    <row r="76" customFormat="1" s="4">
      <c r="A76" s="4" t="inlineStr">
        <is>
          <t>29/01/2026</t>
        </is>
      </c>
      <c r="B76" s="4" t="inlineStr">
        <is>
          <t>29/01/2026</t>
        </is>
      </c>
      <c r="C76" s="4" t="inlineStr">
        <is>
          <t>הוראת קבע</t>
        </is>
      </c>
      <c r="D76" s="4" t="n">
        <v>4837872</v>
      </c>
      <c r="E76" s="4" t="n">
        <v>0</v>
      </c>
      <c r="F76" s="4" t="n">
        <v>350</v>
      </c>
      <c r="G76" s="3" t="n">
        <v>42303.91</v>
      </c>
      <c r="H76" s="4" t="inlineStr">
        <is>
          <t>העברה מאת: תמר ברנר, דן ברנ 10-885-004050720 ועד בית דירה 49</t>
        </is>
      </c>
    </row>
    <row r="77" customFormat="1" s="17">
      <c r="A77" s="17" t="inlineStr">
        <is>
          <t>30/01/2026</t>
        </is>
      </c>
      <c r="B77" s="17" t="inlineStr">
        <is>
          <t>30/01/2026</t>
        </is>
      </c>
      <c r="C77" s="17" t="inlineStr">
        <is>
          <t>קונה בע"מ-י</t>
        </is>
      </c>
      <c r="D77" s="17" t="n">
        <v>1086</v>
      </c>
      <c r="E77" s="19" t="n">
        <v>4361.79</v>
      </c>
      <c r="F77" s="17" t="n">
        <v>0</v>
      </c>
      <c r="G77" s="19" t="n">
        <v>37942.12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8"/>
  <sheetViews>
    <sheetView rightToLeft="1" topLeftCell="A75" workbookViewId="0">
      <selection activeCell="D86" sqref="D86"/>
    </sheetView>
  </sheetViews>
  <sheetFormatPr baseColWidth="8" defaultRowHeight="15"/>
  <cols>
    <col width="9.85546875" bestFit="1" customWidth="1" style="197" min="1" max="2"/>
    <col width="9.5703125" bestFit="1" customWidth="1" style="197" min="7" max="7"/>
  </cols>
  <sheetData>
    <row r="1">
      <c r="A1" s="205" t="inlineStr">
        <is>
          <t>בנק לאומי |</t>
        </is>
      </c>
    </row>
    <row r="2">
      <c r="A2" s="207" t="inlineStr">
        <is>
          <t>מס' חשבון : ‏‏ ‎885-37554/82‎</t>
        </is>
      </c>
    </row>
    <row r="3">
      <c r="A3" s="207" t="inlineStr">
        <is>
          <t>תאריך שמירה/הדפסה: 9/2/2026</t>
        </is>
      </c>
    </row>
    <row r="4">
      <c r="A4" s="208" t="n"/>
    </row>
    <row r="5" ht="15.75" customHeight="1" s="197">
      <c r="A5" s="201" t="inlineStr">
        <is>
          <t>היתרה</t>
        </is>
      </c>
      <c r="C5" s="200" t="inlineStr">
        <is>
          <t>מסגרת האשראי</t>
        </is>
      </c>
      <c r="E5" s="206" t="inlineStr">
        <is>
          <t>נכון לתאריך</t>
        </is>
      </c>
      <c r="G5" s="148" t="n"/>
      <c r="H5" s="148" t="n"/>
      <c r="I5" s="148" t="n"/>
    </row>
    <row r="6">
      <c r="A6" s="207" t="n"/>
      <c r="C6" s="202" t="n"/>
      <c r="E6" s="199" t="n"/>
      <c r="G6" s="148" t="n"/>
      <c r="H6" s="148" t="n"/>
      <c r="I6" s="148" t="n"/>
    </row>
    <row r="7">
      <c r="A7" s="204" t="inlineStr">
        <is>
          <t>₪ 22,270.89</t>
        </is>
      </c>
      <c r="C7" s="203" t="inlineStr">
        <is>
          <t>₪ 0.00</t>
        </is>
      </c>
      <c r="E7" s="198" t="inlineStr">
        <is>
          <t>09.02.26</t>
        </is>
      </c>
      <c r="G7" s="148" t="n"/>
      <c r="H7" s="148" t="n"/>
      <c r="I7" s="148" t="n"/>
    </row>
    <row r="8">
      <c r="A8" s="204" t="inlineStr">
        <is>
          <t>* כולל תנועות היום</t>
        </is>
      </c>
      <c r="C8" s="202" t="n"/>
      <c r="E8" s="199" t="n"/>
      <c r="G8" s="148" t="n"/>
      <c r="H8" s="148" t="n"/>
      <c r="I8" s="148" t="n"/>
    </row>
    <row r="9">
      <c r="A9" s="196" t="n"/>
    </row>
    <row r="10">
      <c r="A10" s="196" t="n"/>
    </row>
    <row r="11" customFormat="1" s="4">
      <c r="A11" s="2" t="n">
        <v>46024</v>
      </c>
      <c r="B11" s="2" t="n">
        <v>46024</v>
      </c>
      <c r="C11" s="4" t="inlineStr">
        <is>
          <t>בנק הפועלים</t>
        </is>
      </c>
      <c r="D11" s="4" t="n">
        <v>99012</v>
      </c>
      <c r="E11" s="4" t="n">
        <v>0</v>
      </c>
      <c r="F11" s="4" t="n">
        <v>320</v>
      </c>
      <c r="G11" s="3" t="n">
        <v>38262.12</v>
      </c>
      <c r="H11" s="4" t="inlineStr">
        <is>
          <t>העברה מאת: ברייב יולי 12-701-000404014 ועד בית</t>
        </is>
      </c>
    </row>
    <row r="12" customFormat="1" s="4">
      <c r="A12" s="2" t="n">
        <v>46024</v>
      </c>
      <c r="B12" s="2" t="n">
        <v>46024</v>
      </c>
      <c r="C12" s="4" t="inlineStr">
        <is>
          <t>בנק מזרחי</t>
        </is>
      </c>
      <c r="D12" s="4" t="n">
        <v>99020</v>
      </c>
      <c r="E12" s="4" t="n">
        <v>0</v>
      </c>
      <c r="F12" s="4" t="n">
        <v>350</v>
      </c>
      <c r="G12" s="3" t="n">
        <v>38612.12</v>
      </c>
      <c r="H12" s="4" t="inlineStr">
        <is>
          <t>העברה מאת: רובקין מרגריטה ו 20-444-000494106 וועד בית</t>
        </is>
      </c>
    </row>
    <row r="13" customFormat="1" s="4">
      <c r="A13" s="2" t="n">
        <v>46024</v>
      </c>
      <c r="B13" s="2" t="n">
        <v>46024</v>
      </c>
      <c r="C13" s="4" t="inlineStr">
        <is>
          <t>הוראת קבע</t>
        </is>
      </c>
      <c r="D13" s="4" t="n">
        <v>4873628</v>
      </c>
      <c r="E13" s="4" t="n">
        <v>0</v>
      </c>
      <c r="F13" s="4" t="n">
        <v>350</v>
      </c>
      <c r="G13" s="3" t="n">
        <v>38962.12</v>
      </c>
      <c r="H13" s="4" t="inlineStr">
        <is>
          <t>העברה מאת: אליזבט בינשטוק, 10-891-003641132 תשלום בהוראת קבע</t>
        </is>
      </c>
    </row>
    <row r="14" customFormat="1" s="17">
      <c r="A14" s="18" t="n">
        <v>46024</v>
      </c>
      <c r="B14" s="18" t="n">
        <v>46024</v>
      </c>
      <c r="C14" s="17" t="inlineStr">
        <is>
          <t>מסלול מורחב</t>
        </is>
      </c>
      <c r="D14" s="17" t="n">
        <v>13187</v>
      </c>
      <c r="E14" s="17" t="n">
        <v>25</v>
      </c>
      <c r="F14" s="17" t="n">
        <v>0</v>
      </c>
      <c r="G14" s="19" t="n">
        <v>38937.12</v>
      </c>
    </row>
    <row r="15" customFormat="1" s="17">
      <c r="A15" s="18" t="n">
        <v>46024</v>
      </c>
      <c r="B15" s="18" t="n">
        <v>46024</v>
      </c>
      <c r="C15" s="17" t="inlineStr">
        <is>
          <t>עמל.ערוץ יש 9</t>
        </is>
      </c>
      <c r="D15" s="17" t="n">
        <v>9</v>
      </c>
      <c r="E15" s="17" t="n">
        <v>14.85</v>
      </c>
      <c r="F15" s="17" t="n">
        <v>0</v>
      </c>
      <c r="G15" s="19" t="n">
        <v>38922.27</v>
      </c>
      <c r="H15" s="17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</row>
    <row r="16" customFormat="1" s="17">
      <c r="A16" s="18" t="n">
        <v>46024</v>
      </c>
      <c r="B16" s="18" t="n">
        <v>46024</v>
      </c>
      <c r="C16" s="17" t="inlineStr">
        <is>
          <t>העברה דיגיטל</t>
        </is>
      </c>
      <c r="D16" s="17" t="n">
        <v>255512</v>
      </c>
      <c r="E16" s="19" t="n">
        <v>7000</v>
      </c>
      <c r="F16" s="17" t="n">
        <v>0</v>
      </c>
      <c r="G16" s="19" t="n">
        <v>31922.27</v>
      </c>
      <c r="H16" s="17" t="inlineStr">
        <is>
          <t>העברה אל: רוזקום בעמ 12-552-000395129 אינטרקום תשלום 1</t>
        </is>
      </c>
    </row>
    <row r="17" customFormat="1" s="4">
      <c r="A17" s="2" t="n">
        <v>46055</v>
      </c>
      <c r="B17" s="2" t="n">
        <v>46055</v>
      </c>
      <c r="C17" s="4" t="inlineStr">
        <is>
          <t>בנק הפועלים</t>
        </is>
      </c>
      <c r="D17" s="4" t="n">
        <v>99012</v>
      </c>
      <c r="E17" s="4" t="n">
        <v>0</v>
      </c>
      <c r="F17" s="4" t="n">
        <v>350</v>
      </c>
      <c r="G17" s="3" t="n">
        <v>32272.27</v>
      </c>
      <c r="H17" s="4" t="inlineStr">
        <is>
          <t>העברה מאת: רועי ולי-ש 12-700-000616685 ועד בית</t>
        </is>
      </c>
    </row>
    <row r="18" customFormat="1" s="4">
      <c r="A18" s="2" t="n">
        <v>46055</v>
      </c>
      <c r="B18" s="2" t="n">
        <v>46055</v>
      </c>
      <c r="C18" s="4" t="inlineStr">
        <is>
          <t>בנק הפועלים</t>
        </is>
      </c>
      <c r="D18" s="4" t="n">
        <v>99012</v>
      </c>
      <c r="E18" s="4" t="n">
        <v>0</v>
      </c>
      <c r="F18" s="4" t="n">
        <v>350</v>
      </c>
      <c r="G18" s="3" t="n">
        <v>32622.27</v>
      </c>
      <c r="H18" s="4" t="inlineStr">
        <is>
          <t>העברה מאת: מנגיסטו דג 12-703-000091338 לוועד הבית</t>
        </is>
      </c>
    </row>
    <row r="19" customFormat="1" s="4">
      <c r="A19" s="2" t="n">
        <v>46055</v>
      </c>
      <c r="B19" s="2" t="n">
        <v>46055</v>
      </c>
      <c r="C19" s="4" t="inlineStr">
        <is>
          <t>בנק הפועלים</t>
        </is>
      </c>
      <c r="D19" s="4" t="n">
        <v>99012</v>
      </c>
      <c r="E19" s="4" t="n">
        <v>0</v>
      </c>
      <c r="F19" s="4" t="n">
        <v>867</v>
      </c>
      <c r="G19" s="3" t="n">
        <v>33489.27</v>
      </c>
      <c r="H19" s="4" t="inlineStr">
        <is>
          <t>העברה מאת: לגסה סיטוטאו יטא 12-700-000089393 חודש ינואר פברואר</t>
        </is>
      </c>
    </row>
    <row r="20" customFormat="1" s="4">
      <c r="A20" s="2" t="n">
        <v>46055</v>
      </c>
      <c r="B20" s="2" t="n">
        <v>46055</v>
      </c>
      <c r="C20" s="4" t="inlineStr">
        <is>
          <t>הוראת קבע</t>
        </is>
      </c>
      <c r="D20" s="4" t="n">
        <v>4668970</v>
      </c>
      <c r="E20" s="4" t="n">
        <v>0</v>
      </c>
      <c r="F20" s="4" t="n">
        <v>350</v>
      </c>
      <c r="G20" s="3" t="n">
        <v>33839.27</v>
      </c>
      <c r="H20" s="4" t="inlineStr">
        <is>
          <t>העברה מאת: פריידמן נטליה 10-882-044876260 תשלום</t>
        </is>
      </c>
    </row>
    <row r="21" customFormat="1" s="4">
      <c r="A21" s="2" t="n">
        <v>46055</v>
      </c>
      <c r="B21" s="2" t="n">
        <v>46055</v>
      </c>
      <c r="C21" s="4" t="inlineStr">
        <is>
          <t>העברה דיגיטל</t>
        </is>
      </c>
      <c r="D21" s="4" t="n">
        <v>120755</v>
      </c>
      <c r="E21" s="4" t="n">
        <v>0</v>
      </c>
      <c r="F21" s="4" t="n">
        <v>700</v>
      </c>
      <c r="G21" s="3" t="n">
        <v>34539.27</v>
      </c>
      <c r="H21" s="4" t="inlineStr">
        <is>
          <t>העברה מאת: פיליפ אלברט 10-916-004497512 חודש פברואר מרץ</t>
        </is>
      </c>
    </row>
    <row r="22">
      <c r="A22" s="149" t="n">
        <v>46055</v>
      </c>
      <c r="B22" s="149" t="n">
        <v>46055</v>
      </c>
      <c r="C22" s="129" t="inlineStr">
        <is>
          <t>העברה דיגיטל</t>
        </is>
      </c>
      <c r="D22" s="129" t="n">
        <v>121079</v>
      </c>
      <c r="E22" s="129" t="n">
        <v>0</v>
      </c>
      <c r="F22" s="129" t="n">
        <v>60</v>
      </c>
      <c r="G22" s="147" t="n">
        <v>34599.27</v>
      </c>
      <c r="H22" s="129" t="inlineStr">
        <is>
          <t>העברה מאת: פיליפ אלברט 10-916-004497512</t>
        </is>
      </c>
    </row>
    <row r="23" customFormat="1" s="4">
      <c r="A23" s="2" t="n">
        <v>46083</v>
      </c>
      <c r="B23" s="2" t="n">
        <v>46083</v>
      </c>
      <c r="C23" s="4" t="inlineStr">
        <is>
          <t>הוראת קבע</t>
        </is>
      </c>
      <c r="D23" s="4" t="n">
        <v>4878373</v>
      </c>
      <c r="E23" s="4" t="n">
        <v>0</v>
      </c>
      <c r="F23" s="4" t="n">
        <v>350</v>
      </c>
      <c r="G23" s="3" t="n">
        <v>34949.27</v>
      </c>
      <c r="H23" s="4" t="inlineStr">
        <is>
          <t>העברה מאת: גל ברזני, שני ול 10-635-001111123 וועד בית דירה 56</t>
        </is>
      </c>
    </row>
    <row r="24" customFormat="1" s="17">
      <c r="A24" s="18" t="n">
        <v>46083</v>
      </c>
      <c r="B24" s="18" t="n">
        <v>46083</v>
      </c>
      <c r="C24" s="17" t="inlineStr">
        <is>
          <t>העברה דיגיטל</t>
        </is>
      </c>
      <c r="D24" s="17" t="n">
        <v>68248</v>
      </c>
      <c r="E24" s="19" t="n">
        <v>7000</v>
      </c>
      <c r="F24" s="17" t="n">
        <v>0</v>
      </c>
      <c r="G24" s="19" t="n">
        <v>27949.27</v>
      </c>
      <c r="H24" s="17" t="inlineStr">
        <is>
          <t>העברה אל: רוזקום בעמ 12-552-000395129 אינטרקום תשלום 2</t>
        </is>
      </c>
    </row>
    <row r="25" customFormat="1" s="4">
      <c r="A25" s="2" t="n">
        <v>46144</v>
      </c>
      <c r="B25" s="2" t="n">
        <v>46144</v>
      </c>
      <c r="C25" s="4" t="inlineStr">
        <is>
          <t>בנק דיסקונט</t>
        </is>
      </c>
      <c r="D25" s="4" t="n">
        <v>99011</v>
      </c>
      <c r="E25" s="4" t="n">
        <v>0</v>
      </c>
      <c r="F25" s="4" t="n">
        <v>320</v>
      </c>
      <c r="G25" s="3" t="n">
        <v>28269.27</v>
      </c>
      <c r="H25" s="4" t="inlineStr">
        <is>
          <t>העברה מאת: אסרף אורטל 11-107-081754738</t>
        </is>
      </c>
    </row>
    <row r="26" customFormat="1" s="4">
      <c r="A26" s="2" t="n">
        <v>46144</v>
      </c>
      <c r="B26" s="2" t="n">
        <v>46144</v>
      </c>
      <c r="C26" s="4" t="inlineStr">
        <is>
          <t>בנק אוצר החיל</t>
        </is>
      </c>
      <c r="D26" s="4" t="n">
        <v>99014</v>
      </c>
      <c r="E26" s="4" t="n">
        <v>0</v>
      </c>
      <c r="F26" s="4" t="n">
        <v>350</v>
      </c>
      <c r="G26" s="3" t="n">
        <v>28619.27</v>
      </c>
      <c r="H26" s="4" t="inlineStr">
        <is>
          <t>העברה מאת: כחלון שלו ו/או ח 14-350-105236062 וועד בית דירה 25 (הערת לקוח)</t>
        </is>
      </c>
    </row>
    <row r="27" customFormat="1" s="4">
      <c r="A27" s="2" t="n">
        <v>46144</v>
      </c>
      <c r="B27" s="2" t="n">
        <v>46144</v>
      </c>
      <c r="C27" s="4" t="inlineStr">
        <is>
          <t>הוראת קבע</t>
        </is>
      </c>
      <c r="D27" s="4" t="n">
        <v>4789577</v>
      </c>
      <c r="E27" s="4" t="n">
        <v>0</v>
      </c>
      <c r="F27" s="4" t="n">
        <v>350</v>
      </c>
      <c r="G27" s="3" t="n">
        <v>28969.27</v>
      </c>
      <c r="H27" s="4" t="inlineStr">
        <is>
          <t>העברה מאת: קטרינה שליאק 10-838-002943311 דירה 43 משפחת שליאק</t>
        </is>
      </c>
    </row>
    <row r="28" customFormat="1" s="17">
      <c r="A28" s="18" t="n">
        <v>46144</v>
      </c>
      <c r="B28" s="18" t="n">
        <v>46144</v>
      </c>
      <c r="C28" s="17" t="inlineStr">
        <is>
          <t>העברה דיגיטל</t>
        </is>
      </c>
      <c r="D28" s="17" t="n">
        <v>8993</v>
      </c>
      <c r="E28" s="17" t="n">
        <v>900</v>
      </c>
      <c r="F28" s="17" t="n">
        <v>0</v>
      </c>
      <c r="G28" s="19" t="n">
        <v>28069.27</v>
      </c>
      <c r="H28" s="17" t="inlineStr">
        <is>
          <t>העברה אל: חלבי כרמי ות 10-981-002104267 גינון</t>
        </is>
      </c>
    </row>
    <row r="29" customFormat="1" s="17">
      <c r="A29" s="18" t="n">
        <v>46175</v>
      </c>
      <c r="B29" s="18" t="n">
        <v>46175</v>
      </c>
      <c r="C29" s="17" t="inlineStr">
        <is>
          <t>נובולה בע"מ-י</t>
        </is>
      </c>
      <c r="D29" s="17" t="n">
        <v>42663</v>
      </c>
      <c r="E29" s="17" t="n">
        <v>48.38</v>
      </c>
      <c r="F29" s="17" t="n">
        <v>0</v>
      </c>
      <c r="G29" s="19" t="n">
        <v>28020.89</v>
      </c>
    </row>
    <row r="30" customFormat="1" s="4">
      <c r="A30" s="2" t="n">
        <v>46175</v>
      </c>
      <c r="B30" s="2" t="n">
        <v>46175</v>
      </c>
      <c r="C30" s="4" t="inlineStr">
        <is>
          <t>הוראת קבע</t>
        </is>
      </c>
      <c r="D30" s="4" t="n">
        <v>4870113</v>
      </c>
      <c r="E30" s="4" t="n">
        <v>0</v>
      </c>
      <c r="F30" s="4" t="n">
        <v>350</v>
      </c>
      <c r="G30" s="3" t="n">
        <v>28370.89</v>
      </c>
      <c r="H30" s="4" t="inlineStr">
        <is>
          <t>העברה מאת: היבה ריזק 10-840-002040614 ועד בית דירה 32 קומה 7</t>
        </is>
      </c>
    </row>
    <row r="31" customFormat="1" s="4">
      <c r="A31" s="2" t="n">
        <v>46236</v>
      </c>
      <c r="B31" s="2" t="n">
        <v>46236</v>
      </c>
      <c r="C31" s="4" t="inlineStr">
        <is>
          <t>בנק הפועלים</t>
        </is>
      </c>
      <c r="D31" s="4" t="n">
        <v>99012</v>
      </c>
      <c r="E31" s="4" t="n">
        <v>0</v>
      </c>
      <c r="F31" s="4" t="n">
        <v>350</v>
      </c>
      <c r="G31" s="3" t="n">
        <v>28720.89</v>
      </c>
      <c r="H31" s="4" t="inlineStr">
        <is>
          <t>העברה מאת: זאדה הודיה וזאדה 12-703-000404555 חודש ינואר משפחת זאדה</t>
        </is>
      </c>
    </row>
    <row r="32" customFormat="1" s="4">
      <c r="A32" s="2" t="n">
        <v>46236</v>
      </c>
      <c r="B32" s="2" t="n">
        <v>46236</v>
      </c>
      <c r="C32" s="4" t="inlineStr">
        <is>
          <t>בנק הפועלים</t>
        </is>
      </c>
      <c r="D32" s="4" t="n">
        <v>99012</v>
      </c>
      <c r="E32" s="4" t="n">
        <v>0</v>
      </c>
      <c r="F32" s="4" t="n">
        <v>350</v>
      </c>
      <c r="G32" s="3" t="n">
        <v>29070.89</v>
      </c>
      <c r="H32" s="4" t="inlineStr">
        <is>
          <t>העברה מאת: זאדה הודיה 12-703-000404555 תשלום חודשי משפחת זאדה</t>
        </is>
      </c>
    </row>
    <row r="33" customFormat="1" s="4">
      <c r="A33" s="2" t="n">
        <v>46267</v>
      </c>
      <c r="B33" s="2" t="n">
        <v>46267</v>
      </c>
      <c r="C33" s="4" t="inlineStr">
        <is>
          <t>הוראת קבע</t>
        </is>
      </c>
      <c r="D33" s="4" t="n">
        <v>4763312</v>
      </c>
      <c r="E33" s="4" t="n">
        <v>0</v>
      </c>
      <c r="F33" s="4" t="n">
        <v>350</v>
      </c>
      <c r="G33" s="3" t="n">
        <v>29420.89</v>
      </c>
      <c r="H33" s="4" t="inlineStr">
        <is>
          <t>העברה מאת: יוספה אמור, בנימ 10-885-000271821 תשלום בהוראת קבע</t>
        </is>
      </c>
    </row>
    <row r="34" customFormat="1" s="4">
      <c r="A34" s="2" t="n">
        <v>46267</v>
      </c>
      <c r="B34" s="2" t="n">
        <v>46267</v>
      </c>
      <c r="C34" s="4" t="inlineStr">
        <is>
          <t>הוראת קבע</t>
        </is>
      </c>
      <c r="D34" s="4" t="n">
        <v>4899758</v>
      </c>
      <c r="E34" s="4" t="n">
        <v>0</v>
      </c>
      <c r="F34" s="4" t="n">
        <v>350</v>
      </c>
      <c r="G34" s="3" t="n">
        <v>29770.89</v>
      </c>
      <c r="H34" s="4" t="inlineStr">
        <is>
          <t>העברה מאת: וולושין אלכסנדר 10-879-057984481 ועד בית</t>
        </is>
      </c>
    </row>
    <row r="35" customFormat="1" s="17">
      <c r="A35" s="18" t="n">
        <v>46267</v>
      </c>
      <c r="B35" s="18" t="n">
        <v>46267</v>
      </c>
      <c r="C35" s="17" t="inlineStr">
        <is>
          <t>הוראת קבע</t>
        </is>
      </c>
      <c r="D35" s="17" t="n">
        <v>4932477</v>
      </c>
      <c r="E35" s="19" t="n">
        <v>7500</v>
      </c>
      <c r="F35" s="17" t="n">
        <v>0</v>
      </c>
      <c r="G35" s="19" t="n">
        <v>22270.89</v>
      </c>
      <c r="H35" s="17" t="inlineStr">
        <is>
          <t>העברה ל: גל אנתבי 20-505-00159972 תאריך סיום: 09.12.2027 ניקיון האגמית 7</t>
        </is>
      </c>
    </row>
    <row r="36" customFormat="1" s="17">
      <c r="A36" s="18" t="n">
        <v>46297</v>
      </c>
      <c r="B36" s="18" t="n">
        <v>46297</v>
      </c>
      <c r="C36" s="17" t="inlineStr">
        <is>
          <t>ש.שלמה חברה-י</t>
        </is>
      </c>
      <c r="D36" s="17" t="n">
        <v>44855</v>
      </c>
      <c r="E36" s="17" t="n">
        <v>982</v>
      </c>
      <c r="F36" s="17" t="n">
        <v>0</v>
      </c>
      <c r="G36" s="19" t="n">
        <v>21288.89</v>
      </c>
    </row>
    <row r="37" customFormat="1" s="4">
      <c r="A37" s="2" t="n">
        <v>46297</v>
      </c>
      <c r="B37" s="2" t="n">
        <v>46297</v>
      </c>
      <c r="C37" s="4" t="inlineStr">
        <is>
          <t>בנק דיסקונט</t>
        </is>
      </c>
      <c r="D37" s="4" t="n">
        <v>99011</v>
      </c>
      <c r="E37" s="4" t="n">
        <v>0</v>
      </c>
      <c r="F37" s="4" t="n">
        <v>350</v>
      </c>
      <c r="G37" s="3" t="n">
        <v>21638.89</v>
      </c>
      <c r="H37" s="4" t="inlineStr">
        <is>
          <t>העברה מאת: שרביט גל,טויזר נ 11-107-205119303 דירה 60</t>
        </is>
      </c>
    </row>
    <row r="38" customFormat="1" s="4">
      <c r="A38" s="2" t="n">
        <v>46297</v>
      </c>
      <c r="B38" s="2" t="n">
        <v>46297</v>
      </c>
      <c r="C38" s="4" t="inlineStr">
        <is>
          <t>בנק דיסקונט</t>
        </is>
      </c>
      <c r="D38" s="4" t="n">
        <v>99011</v>
      </c>
      <c r="E38" s="4" t="n">
        <v>0</v>
      </c>
      <c r="F38" s="4" t="n">
        <v>350</v>
      </c>
      <c r="G38" s="3" t="n">
        <v>21988.89</v>
      </c>
      <c r="H38" s="4" t="inlineStr">
        <is>
          <t>העברה מאת: סימקין טרוסטיאני 11-097-132698643 ועד הבית - סימקין דירה 21</t>
        </is>
      </c>
    </row>
    <row r="39" customFormat="1" s="4">
      <c r="A39" s="2" t="n">
        <v>46297</v>
      </c>
      <c r="B39" s="2" t="n">
        <v>46297</v>
      </c>
      <c r="C39" s="4" t="inlineStr">
        <is>
          <t>בנק דיסקונט</t>
        </is>
      </c>
      <c r="D39" s="4" t="n">
        <v>99011</v>
      </c>
      <c r="E39" s="4" t="n">
        <v>0</v>
      </c>
      <c r="F39" s="4" t="n">
        <v>350</v>
      </c>
      <c r="G39" s="3" t="n">
        <v>22338.89</v>
      </c>
      <c r="H39" s="4" t="inlineStr">
        <is>
          <t>העברה מאת: רומנו לינצקי סיו 11-107-075555974</t>
        </is>
      </c>
    </row>
    <row r="40" customFormat="1" s="4">
      <c r="A40" s="2" t="n">
        <v>46297</v>
      </c>
      <c r="B40" s="2" t="n">
        <v>46297</v>
      </c>
      <c r="C40" s="4" t="inlineStr">
        <is>
          <t>בנק דיסקונט</t>
        </is>
      </c>
      <c r="D40" s="4" t="n">
        <v>99011</v>
      </c>
      <c r="E40" s="4" t="n">
        <v>0</v>
      </c>
      <c r="F40" s="3" t="n">
        <v>2160</v>
      </c>
      <c r="G40" s="3" t="n">
        <v>24498.89</v>
      </c>
      <c r="H40" s="4" t="inlineStr">
        <is>
          <t>העברה מאת: קשר ספורט בע"מ 11-010-001194323 קשר ספורט בע"מ</t>
        </is>
      </c>
    </row>
    <row r="41" customFormat="1" s="4">
      <c r="A41" s="2" t="n">
        <v>46297</v>
      </c>
      <c r="B41" s="2" t="n">
        <v>46297</v>
      </c>
      <c r="C41" s="4" t="inlineStr">
        <is>
          <t>בנק הפועלים</t>
        </is>
      </c>
      <c r="D41" s="4" t="n">
        <v>99012</v>
      </c>
      <c r="E41" s="4" t="n">
        <v>0</v>
      </c>
      <c r="F41" s="4" t="n">
        <v>320</v>
      </c>
      <c r="G41" s="3" t="n">
        <v>24818.89</v>
      </c>
      <c r="H41" s="4" t="inlineStr">
        <is>
          <t>העברה מאת: אסולין יעק 12-704-000263394 ועד בית</t>
        </is>
      </c>
    </row>
    <row r="42" customFormat="1" s="4">
      <c r="A42" s="2" t="n">
        <v>46297</v>
      </c>
      <c r="B42" s="2" t="n">
        <v>46297</v>
      </c>
      <c r="C42" s="4" t="inlineStr">
        <is>
          <t>בנק הפועלים</t>
        </is>
      </c>
      <c r="D42" s="4" t="n">
        <v>99012</v>
      </c>
      <c r="E42" s="4" t="n">
        <v>0</v>
      </c>
      <c r="F42" s="4" t="n">
        <v>350</v>
      </c>
      <c r="G42" s="3" t="n">
        <v>25168.89</v>
      </c>
      <c r="H42" s="4" t="inlineStr">
        <is>
          <t>העברה מאת: בייבקוב קו 12-701-000262613 דירה 9</t>
        </is>
      </c>
    </row>
    <row r="43" customFormat="1" s="4">
      <c r="A43" s="2" t="n">
        <v>46297</v>
      </c>
      <c r="B43" s="2" t="n">
        <v>46297</v>
      </c>
      <c r="C43" s="4" t="inlineStr">
        <is>
          <t>בנק הפועלים</t>
        </is>
      </c>
      <c r="D43" s="4" t="n">
        <v>99012</v>
      </c>
      <c r="E43" s="4" t="n">
        <v>0</v>
      </c>
      <c r="F43" s="4" t="n">
        <v>350</v>
      </c>
      <c r="G43" s="3" t="n">
        <v>25518.89</v>
      </c>
      <c r="H43" s="4" t="inlineStr">
        <is>
          <t>העברה מאת: צ`רניאק בו 12-703-000466089 דירה 44, תשלום ועד</t>
        </is>
      </c>
    </row>
    <row r="44" customFormat="1" s="4">
      <c r="A44" s="2" t="n">
        <v>46297</v>
      </c>
      <c r="B44" s="2" t="n">
        <v>46297</v>
      </c>
      <c r="C44" s="4" t="inlineStr">
        <is>
          <t>בנק הפועלים</t>
        </is>
      </c>
      <c r="D44" s="4" t="n">
        <v>99012</v>
      </c>
      <c r="E44" s="4" t="n">
        <v>0</v>
      </c>
      <c r="F44" s="4" t="n">
        <v>350</v>
      </c>
      <c r="G44" s="3" t="n">
        <v>25868.89</v>
      </c>
      <c r="H44" s="4" t="inlineStr">
        <is>
          <t>העברה מאת: אל איי הנד 12-703-000496840 ועד דירה 57</t>
        </is>
      </c>
    </row>
    <row r="45" customFormat="1" s="4">
      <c r="A45" s="2" t="n">
        <v>46297</v>
      </c>
      <c r="B45" s="2" t="n">
        <v>46297</v>
      </c>
      <c r="C45" s="4" t="inlineStr">
        <is>
          <t>בנק הפועלים</t>
        </is>
      </c>
      <c r="D45" s="4" t="n">
        <v>99012</v>
      </c>
      <c r="E45" s="4" t="n">
        <v>0</v>
      </c>
      <c r="F45" s="4" t="n">
        <v>350</v>
      </c>
      <c r="G45" s="3" t="n">
        <v>26218.89</v>
      </c>
      <c r="H45" s="4" t="inlineStr">
        <is>
          <t>העברה מאת: פולונסקי א 12-728-000012111 דירה 52</t>
        </is>
      </c>
    </row>
    <row r="46" customFormat="1" s="4">
      <c r="A46" s="2" t="n">
        <v>46297</v>
      </c>
      <c r="B46" s="2" t="n">
        <v>46297</v>
      </c>
      <c r="C46" s="4" t="inlineStr">
        <is>
          <t>בנק הפועלים</t>
        </is>
      </c>
      <c r="D46" s="4" t="n">
        <v>99012</v>
      </c>
      <c r="E46" s="4" t="n">
        <v>0</v>
      </c>
      <c r="F46" s="4" t="n">
        <v>350</v>
      </c>
      <c r="G46" s="3" t="n">
        <v>26568.89</v>
      </c>
      <c r="H46" s="4" t="inlineStr">
        <is>
          <t>העברה מאת: מוגילבסקי 12-728-000685973 תשלום וועד דירה 55</t>
        </is>
      </c>
    </row>
    <row r="47" customFormat="1" s="4">
      <c r="A47" s="2" t="n">
        <v>46297</v>
      </c>
      <c r="B47" s="2" t="n">
        <v>46297</v>
      </c>
      <c r="C47" s="4" t="inlineStr">
        <is>
          <t>בנק אוצר החיל</t>
        </is>
      </c>
      <c r="D47" s="4" t="n">
        <v>99014</v>
      </c>
      <c r="E47" s="4" t="n">
        <v>0</v>
      </c>
      <c r="F47" s="4" t="n">
        <v>350</v>
      </c>
      <c r="G47" s="3" t="n">
        <v>26918.89</v>
      </c>
      <c r="H47" s="4" t="inlineStr">
        <is>
          <t>העברה מאת: כהן אביאל 14-350-000175551 ועד בית</t>
        </is>
      </c>
    </row>
    <row r="48" customFormat="1" s="4">
      <c r="A48" s="2" t="n">
        <v>46297</v>
      </c>
      <c r="B48" s="2" t="n">
        <v>46297</v>
      </c>
      <c r="C48" s="4" t="inlineStr">
        <is>
          <t>בנק אוצר החיל</t>
        </is>
      </c>
      <c r="D48" s="4" t="n">
        <v>99014</v>
      </c>
      <c r="E48" s="4" t="n">
        <v>0</v>
      </c>
      <c r="F48" s="4" t="n">
        <v>350</v>
      </c>
      <c r="G48" s="3" t="n">
        <v>27268.89</v>
      </c>
      <c r="H48" s="4" t="inlineStr">
        <is>
          <t>העברה מאת: זלץ ניר ו/או נט 14-362-105079420 העברה לוועד בית</t>
        </is>
      </c>
    </row>
    <row r="49" customFormat="1" s="4">
      <c r="A49" s="2" t="n">
        <v>46297</v>
      </c>
      <c r="B49" s="2" t="n">
        <v>46297</v>
      </c>
      <c r="C49" s="4" t="inlineStr">
        <is>
          <t>בנק אוצר החיל</t>
        </is>
      </c>
      <c r="D49" s="4" t="n">
        <v>99014</v>
      </c>
      <c r="E49" s="4" t="n">
        <v>0</v>
      </c>
      <c r="F49" s="4" t="n">
        <v>350</v>
      </c>
      <c r="G49" s="3" t="n">
        <v>27618.89</v>
      </c>
      <c r="H49" s="4" t="inlineStr">
        <is>
          <t>העברה מאת: איטח ענת ו/או רפ 14-362-000321489 איטח ענת ורפי</t>
        </is>
      </c>
    </row>
    <row r="50" customFormat="1" s="4">
      <c r="A50" s="2" t="n">
        <v>46297</v>
      </c>
      <c r="B50" s="2" t="n">
        <v>46297</v>
      </c>
      <c r="C50" s="4" t="inlineStr">
        <is>
          <t>בנק מזרחי</t>
        </is>
      </c>
      <c r="D50" s="4" t="n">
        <v>99020</v>
      </c>
      <c r="E50" s="4" t="n">
        <v>0</v>
      </c>
      <c r="F50" s="4" t="n">
        <v>350</v>
      </c>
      <c r="G50" s="3" t="n">
        <v>27968.89</v>
      </c>
      <c r="H50" s="4" t="inlineStr">
        <is>
          <t>העברה מאת: וולמיר רות ואלכס 20-441-000075228 עבור דירה 7</t>
        </is>
      </c>
    </row>
    <row r="51" customFormat="1" s="4">
      <c r="A51" s="2" t="n">
        <v>46297</v>
      </c>
      <c r="B51" s="2" t="n">
        <v>46297</v>
      </c>
      <c r="C51" s="4" t="inlineStr">
        <is>
          <t>הוראת קבע</t>
        </is>
      </c>
      <c r="D51" s="4" t="n">
        <v>4512636</v>
      </c>
      <c r="E51" s="4" t="n">
        <v>0</v>
      </c>
      <c r="F51" s="4" t="n">
        <v>350</v>
      </c>
      <c r="G51" s="3" t="n">
        <v>28318.89</v>
      </c>
      <c r="H51" s="4" t="inlineStr">
        <is>
          <t>העברה מאת: קוטיגרו מיכאל 10-948-057374636 תשלום</t>
        </is>
      </c>
    </row>
    <row r="52" customFormat="1" s="17">
      <c r="A52" s="18" t="n">
        <v>46297</v>
      </c>
      <c r="B52" s="18" t="n">
        <v>46297</v>
      </c>
      <c r="C52" s="17" t="inlineStr">
        <is>
          <t>הוראת קבע</t>
        </is>
      </c>
      <c r="D52" s="17" t="n">
        <v>4801703</v>
      </c>
      <c r="E52" s="17" t="n">
        <v>780.11</v>
      </c>
      <c r="F52" s="17" t="n">
        <v>0</v>
      </c>
      <c r="G52" s="19" t="n">
        <v>27538.78</v>
      </c>
      <c r="H52" s="17" t="inlineStr">
        <is>
          <t>העברה ל: ארדן 12-391-00410504 תאריך סיום: 10.03.2026 ארדן האגמית 7 טירת כרמל</t>
        </is>
      </c>
    </row>
    <row r="53" customFormat="1" s="4">
      <c r="A53" s="2" t="n">
        <v>46297</v>
      </c>
      <c r="B53" s="2" t="n">
        <v>46297</v>
      </c>
      <c r="C53" s="4" t="inlineStr">
        <is>
          <t>הוראת קבע</t>
        </is>
      </c>
      <c r="D53" s="4" t="n">
        <v>4875354</v>
      </c>
      <c r="E53" s="4" t="n">
        <v>0</v>
      </c>
      <c r="F53" s="4" t="n">
        <v>350</v>
      </c>
      <c r="G53" s="3" t="n">
        <v>27888.78</v>
      </c>
      <c r="H53" s="4" t="inlineStr">
        <is>
          <t>העברה מאת: בר ברקת ישראלי, 10-716-002056289 ועד בית דירה 5</t>
        </is>
      </c>
    </row>
    <row r="54" customFormat="1" s="4">
      <c r="A54" s="2" t="n">
        <v>46297</v>
      </c>
      <c r="B54" s="2" t="n">
        <v>46297</v>
      </c>
      <c r="C54" s="4" t="inlineStr">
        <is>
          <t>הוראת קבע</t>
        </is>
      </c>
      <c r="D54" s="4" t="n">
        <v>4883868</v>
      </c>
      <c r="E54" s="4" t="n">
        <v>0</v>
      </c>
      <c r="F54" s="4" t="n">
        <v>350</v>
      </c>
      <c r="G54" s="3" t="n">
        <v>28238.78</v>
      </c>
      <c r="H54" s="4" t="inlineStr">
        <is>
          <t>העברה מאת: לאוניד שכטמן 10-705-012376080 ועד בית</t>
        </is>
      </c>
    </row>
    <row r="55" customFormat="1" s="4">
      <c r="A55" s="2" t="n">
        <v>46297</v>
      </c>
      <c r="B55" s="2" t="n">
        <v>46297</v>
      </c>
      <c r="C55" s="4" t="inlineStr">
        <is>
          <t>העברה דיגיטל</t>
        </is>
      </c>
      <c r="D55" s="4" t="n">
        <v>289137</v>
      </c>
      <c r="E55" s="4" t="n">
        <v>0</v>
      </c>
      <c r="F55" s="4" t="n">
        <v>350</v>
      </c>
      <c r="G55" s="3" t="n">
        <v>28588.78</v>
      </c>
      <c r="H55" s="4" t="inlineStr">
        <is>
          <t>העברה מאת: מיכאל זבוליו 10-885-002348011 ועד בית דירה 50</t>
        </is>
      </c>
    </row>
    <row r="56" customFormat="1" s="4">
      <c r="A56" s="2" t="n">
        <v>46328</v>
      </c>
      <c r="B56" s="2" t="n">
        <v>46328</v>
      </c>
      <c r="C56" s="4" t="inlineStr">
        <is>
          <t>בנק הפועלים</t>
        </is>
      </c>
      <c r="D56" s="4" t="n">
        <v>99012</v>
      </c>
      <c r="E56" s="4" t="n">
        <v>0</v>
      </c>
      <c r="F56" s="4" t="n">
        <v>350</v>
      </c>
      <c r="G56" s="3" t="n">
        <v>28938.78</v>
      </c>
      <c r="H56" s="4" t="inlineStr">
        <is>
          <t>העברה מאת: אלייב שלמה -שלומ 12-703-000624018 ועד אגמית 2.26</t>
        </is>
      </c>
    </row>
    <row r="57" customFormat="1" s="154">
      <c r="A57" s="152" t="n">
        <v>46328</v>
      </c>
      <c r="B57" s="152" t="n">
        <v>46328</v>
      </c>
      <c r="C57" s="154" t="inlineStr">
        <is>
          <t>העברה דיגיטל</t>
        </is>
      </c>
      <c r="D57" s="154" t="n">
        <v>33582</v>
      </c>
      <c r="E57" s="154" t="n">
        <v>0</v>
      </c>
      <c r="F57" s="154" t="n">
        <v>500</v>
      </c>
      <c r="G57" s="153" t="n">
        <v>29438.78</v>
      </c>
      <c r="H57" s="154" t="inlineStr">
        <is>
          <t>העברה מאת: חן לוי, נתנא 10-885-002439793 ועד בית</t>
        </is>
      </c>
    </row>
    <row r="58" customFormat="1" s="4">
      <c r="A58" s="2" t="n">
        <v>46358</v>
      </c>
      <c r="B58" s="2" t="n">
        <v>46358</v>
      </c>
      <c r="C58" s="4" t="inlineStr">
        <is>
          <t>בנק דיסקונט</t>
        </is>
      </c>
      <c r="D58" s="4" t="n">
        <v>99011</v>
      </c>
      <c r="E58" s="4" t="n">
        <v>0</v>
      </c>
      <c r="F58" s="4" t="n">
        <v>350</v>
      </c>
      <c r="G58" s="3" t="n">
        <v>29788.78</v>
      </c>
      <c r="H58" s="4" t="inlineStr">
        <is>
          <t>העברה מאת: פרחי נדב,פרחי שי 11-107-003913440</t>
        </is>
      </c>
    </row>
    <row r="59" customFormat="1" s="4">
      <c r="A59" s="4" t="inlineStr">
        <is>
          <t>15/02/2026</t>
        </is>
      </c>
      <c r="B59" s="4" t="inlineStr">
        <is>
          <t>15/02/2026</t>
        </is>
      </c>
      <c r="C59" s="4" t="inlineStr">
        <is>
          <t>מבנק יהב ס.-י</t>
        </is>
      </c>
      <c r="D59" s="4" t="n">
        <v>99004</v>
      </c>
      <c r="E59" s="4" t="n">
        <v>0</v>
      </c>
      <c r="F59" s="4" t="n">
        <v>350</v>
      </c>
      <c r="G59" s="3" t="n">
        <v>30138.78</v>
      </c>
      <c r="H59" s="4" t="inlineStr">
        <is>
          <t>העברה מאת: יונה חמד 04-140-000473912</t>
        </is>
      </c>
    </row>
    <row r="60" customFormat="1" s="4">
      <c r="A60" s="4" t="inlineStr">
        <is>
          <t>15/02/2026</t>
        </is>
      </c>
      <c r="B60" s="4" t="inlineStr">
        <is>
          <t>15/02/2026</t>
        </is>
      </c>
      <c r="C60" s="4" t="inlineStr">
        <is>
          <t>בנק הפועלים</t>
        </is>
      </c>
      <c r="D60" s="4" t="n">
        <v>99012</v>
      </c>
      <c r="E60" s="4" t="n">
        <v>0</v>
      </c>
      <c r="F60" s="4" t="n">
        <v>120</v>
      </c>
      <c r="G60" s="3" t="n">
        <v>30258.78</v>
      </c>
      <c r="H60" s="4" t="inlineStr">
        <is>
          <t>העברה מאת: אסולין יעקב ובן 12-704-000263394 הפרש 4 חודשים דירה 30</t>
        </is>
      </c>
    </row>
    <row r="61" customFormat="1" s="4">
      <c r="A61" s="4" t="inlineStr">
        <is>
          <t>15/02/2026</t>
        </is>
      </c>
      <c r="B61" s="4" t="inlineStr">
        <is>
          <t>15/02/2026</t>
        </is>
      </c>
      <c r="C61" s="4" t="inlineStr">
        <is>
          <t>בנק הפועלים</t>
        </is>
      </c>
      <c r="D61" s="4" t="n">
        <v>99012</v>
      </c>
      <c r="E61" s="4" t="n">
        <v>0</v>
      </c>
      <c r="F61" s="4" t="n">
        <v>350</v>
      </c>
      <c r="G61" s="3" t="n">
        <v>30608.78</v>
      </c>
      <c r="H61" s="4" t="inlineStr">
        <is>
          <t>העברה מאת: ממן אושרי 12-703-000364148 תשלום ועד משפחת ממן</t>
        </is>
      </c>
    </row>
    <row r="62" customFormat="1" s="4">
      <c r="A62" s="4" t="inlineStr">
        <is>
          <t>15/02/2026</t>
        </is>
      </c>
      <c r="B62" s="4" t="inlineStr">
        <is>
          <t>15/02/2026</t>
        </is>
      </c>
      <c r="C62" s="4" t="inlineStr">
        <is>
          <t>בנק הפועלים</t>
        </is>
      </c>
      <c r="D62" s="4" t="n">
        <v>99012</v>
      </c>
      <c r="E62" s="4" t="n">
        <v>0</v>
      </c>
      <c r="F62" s="4" t="n">
        <v>350</v>
      </c>
      <c r="G62" s="3" t="n">
        <v>30958.78</v>
      </c>
      <c r="H62" s="4" t="inlineStr">
        <is>
          <t>העברה מאת: צ`רניאק בוריס וצ 12-703-000466089 דירה 44, חודש ינואר, תשלום ועד</t>
        </is>
      </c>
    </row>
    <row r="63" customFormat="1" s="4">
      <c r="A63" s="4" t="inlineStr">
        <is>
          <t>15/02/2026</t>
        </is>
      </c>
      <c r="B63" s="4" t="inlineStr">
        <is>
          <t>15/02/2026</t>
        </is>
      </c>
      <c r="C63" s="4" t="inlineStr">
        <is>
          <t>בנק אוצר החיל</t>
        </is>
      </c>
      <c r="D63" s="4" t="n">
        <v>99014</v>
      </c>
      <c r="E63" s="4" t="n">
        <v>0</v>
      </c>
      <c r="F63" s="4" t="n">
        <v>350</v>
      </c>
      <c r="G63" s="3" t="n">
        <v>31308.78</v>
      </c>
      <c r="H63" s="4" t="inlineStr">
        <is>
          <t>העברה מאת: מקייס סאספורתס ק 14-362-105318123 וועד (הערת לקוח)</t>
        </is>
      </c>
    </row>
    <row r="64" customFormat="1" s="4">
      <c r="A64" s="4" t="inlineStr">
        <is>
          <t>15/02/2026</t>
        </is>
      </c>
      <c r="B64" s="4" t="inlineStr">
        <is>
          <t>15/02/2026</t>
        </is>
      </c>
      <c r="C64" s="4" t="inlineStr">
        <is>
          <t>בנק מזרחי</t>
        </is>
      </c>
      <c r="D64" s="4" t="n">
        <v>99020</v>
      </c>
      <c r="E64" s="4" t="n">
        <v>0</v>
      </c>
      <c r="F64" s="4" t="n">
        <v>350</v>
      </c>
      <c r="G64" s="3" t="n">
        <v>31658.78</v>
      </c>
      <c r="H64" s="4" t="inlineStr">
        <is>
          <t>העברה מאת: רובקין מרגריטה ו 20-444-000494106</t>
        </is>
      </c>
    </row>
    <row r="65" customFormat="1" s="4">
      <c r="A65" s="4" t="inlineStr">
        <is>
          <t>15/02/2026</t>
        </is>
      </c>
      <c r="B65" s="4" t="inlineStr">
        <is>
          <t>15/02/2026</t>
        </is>
      </c>
      <c r="C65" s="4" t="inlineStr">
        <is>
          <t>בנק מזרחי</t>
        </is>
      </c>
      <c r="D65" s="4" t="n">
        <v>99020</v>
      </c>
      <c r="E65" s="4" t="n">
        <v>0</v>
      </c>
      <c r="F65" s="4" t="n">
        <v>350</v>
      </c>
      <c r="G65" s="3" t="n">
        <v>32008.78</v>
      </c>
      <c r="H65" s="4" t="inlineStr">
        <is>
          <t>העברה מאת: בכר שי 20-523-000260701</t>
        </is>
      </c>
    </row>
    <row r="66" customFormat="1" s="4">
      <c r="A66" s="4" t="inlineStr">
        <is>
          <t>15/02/2026</t>
        </is>
      </c>
      <c r="B66" s="4" t="inlineStr">
        <is>
          <t>15/02/2026</t>
        </is>
      </c>
      <c r="C66" s="4" t="inlineStr">
        <is>
          <t>מהבינלאומי ס-י</t>
        </is>
      </c>
      <c r="D66" s="4" t="n">
        <v>99031</v>
      </c>
      <c r="E66" s="4" t="n">
        <v>0</v>
      </c>
      <c r="F66" s="4" t="n">
        <v>350</v>
      </c>
      <c r="G66" s="3" t="n">
        <v>32358.78</v>
      </c>
      <c r="H66" s="4" t="inlineStr">
        <is>
          <t>העברה מאת: לב משה ו/או מרקו 31-007-105009100 דירה 24 מש לב (הערת לקוח)</t>
        </is>
      </c>
    </row>
    <row r="67" customFormat="1" s="4">
      <c r="A67" s="4" t="inlineStr">
        <is>
          <t>15/02/2026</t>
        </is>
      </c>
      <c r="B67" s="4" t="inlineStr">
        <is>
          <t>15/02/2026</t>
        </is>
      </c>
      <c r="C67" s="4" t="inlineStr">
        <is>
          <t>הוראת קבע</t>
        </is>
      </c>
      <c r="D67" s="4" t="n">
        <v>4795693</v>
      </c>
      <c r="E67" s="4" t="n">
        <v>0</v>
      </c>
      <c r="F67" s="4" t="n">
        <v>350</v>
      </c>
      <c r="G67" s="3" t="n">
        <v>32708.78</v>
      </c>
      <c r="H67" s="4" t="inlineStr">
        <is>
          <t>העברה מאת: חן לוי, נתנאל לו 10-885-002439793 שכר דירה</t>
        </is>
      </c>
    </row>
    <row r="68" customFormat="1" s="4">
      <c r="A68" s="4" t="inlineStr">
        <is>
          <t>15/02/2026</t>
        </is>
      </c>
      <c r="B68" s="4" t="inlineStr">
        <is>
          <t>15/02/2026</t>
        </is>
      </c>
      <c r="C68" s="4" t="inlineStr">
        <is>
          <t>הוראת קבע</t>
        </is>
      </c>
      <c r="D68" s="4" t="n">
        <v>4865441</v>
      </c>
      <c r="E68" s="4" t="n">
        <v>0</v>
      </c>
      <c r="F68" s="4" t="n">
        <v>350</v>
      </c>
      <c r="G68" s="3" t="n">
        <v>33058.78</v>
      </c>
      <c r="H68" s="4" t="inlineStr">
        <is>
          <t>העברה מאת: רביבו מאור 10-885-001567984 ועד בית דירה 6</t>
        </is>
      </c>
    </row>
    <row r="69" customFormat="1" s="4">
      <c r="A69" s="4" t="inlineStr">
        <is>
          <t>15/02/2026</t>
        </is>
      </c>
      <c r="B69" s="4" t="inlineStr">
        <is>
          <t>15/02/2026</t>
        </is>
      </c>
      <c r="C69" s="4" t="inlineStr">
        <is>
          <t>הוראת קבע</t>
        </is>
      </c>
      <c r="D69" s="4" t="n">
        <v>4865951</v>
      </c>
      <c r="E69" s="4" t="n">
        <v>0</v>
      </c>
      <c r="F69" s="4" t="n">
        <v>350</v>
      </c>
      <c r="G69" s="3" t="n">
        <v>33408.78</v>
      </c>
      <c r="H69" s="4" t="inlineStr">
        <is>
          <t>העברה מאת: טטיאנה סיגל, אלי 10-882-020472034 תשלום</t>
        </is>
      </c>
    </row>
    <row r="70" customFormat="1" s="4">
      <c r="A70" s="4" t="inlineStr">
        <is>
          <t>15/02/2026</t>
        </is>
      </c>
      <c r="B70" s="4" t="inlineStr">
        <is>
          <t>15/02/2026</t>
        </is>
      </c>
      <c r="C70" s="4" t="inlineStr">
        <is>
          <t>הוראת קבע</t>
        </is>
      </c>
      <c r="D70" s="4" t="n">
        <v>4870920</v>
      </c>
      <c r="E70" s="4" t="n">
        <v>0</v>
      </c>
      <c r="F70" s="4" t="n">
        <v>350</v>
      </c>
      <c r="G70" s="3" t="n">
        <v>33758.78</v>
      </c>
      <c r="H70" s="4" t="inlineStr">
        <is>
          <t>העברה מאת: גלמן אירינה 10-877-002493094 ועד בית</t>
        </is>
      </c>
    </row>
    <row r="71" customFormat="1" s="4">
      <c r="A71" s="4" t="inlineStr">
        <is>
          <t>15/02/2026</t>
        </is>
      </c>
      <c r="B71" s="4" t="inlineStr">
        <is>
          <t>15/02/2026</t>
        </is>
      </c>
      <c r="C71" s="4" t="inlineStr">
        <is>
          <t>הוראת קבע</t>
        </is>
      </c>
      <c r="D71" s="4" t="n">
        <v>4882283</v>
      </c>
      <c r="E71" s="4" t="n">
        <v>0</v>
      </c>
      <c r="F71" s="4" t="n">
        <v>350</v>
      </c>
      <c r="G71" s="3" t="n">
        <v>34108.78</v>
      </c>
      <c r="H71" s="4" t="inlineStr">
        <is>
          <t>העברה מאת: קטרין קוט 10-891-004022651 ועד דירה 51 אריסון</t>
        </is>
      </c>
    </row>
    <row r="72" customFormat="1" s="4">
      <c r="A72" s="4" t="inlineStr">
        <is>
          <t>15/02/2026</t>
        </is>
      </c>
      <c r="B72" s="4" t="inlineStr">
        <is>
          <t>15/02/2026</t>
        </is>
      </c>
      <c r="C72" s="4" t="inlineStr">
        <is>
          <t>העברה דיגיטל</t>
        </is>
      </c>
      <c r="D72" s="4" t="n">
        <v>208736</v>
      </c>
      <c r="E72" s="4" t="n">
        <v>0</v>
      </c>
      <c r="F72" s="4" t="n">
        <v>350</v>
      </c>
      <c r="G72" s="3" t="n">
        <v>34458.78</v>
      </c>
      <c r="H72" s="4" t="inlineStr">
        <is>
          <t>העברה מאת: אליאס סמעאן 10-877-003268585 ועד בית</t>
        </is>
      </c>
    </row>
    <row r="73" customFormat="1" s="4">
      <c r="A73" s="4" t="inlineStr">
        <is>
          <t>17/02/2026</t>
        </is>
      </c>
      <c r="B73" s="4" t="inlineStr">
        <is>
          <t>17/02/2026</t>
        </is>
      </c>
      <c r="C73" s="4" t="inlineStr">
        <is>
          <t>בנק הפועלים</t>
        </is>
      </c>
      <c r="D73" s="4" t="n">
        <v>99012</v>
      </c>
      <c r="E73" s="4" t="n">
        <v>0</v>
      </c>
      <c r="F73" s="4" t="n">
        <v>350</v>
      </c>
      <c r="G73" s="3" t="n">
        <v>34808.78</v>
      </c>
      <c r="H73" s="4" t="inlineStr">
        <is>
          <t>העברה מאת: סיגלוב דמיטרי או 12-703-000021291 דירה 34 סיגלוב</t>
        </is>
      </c>
    </row>
    <row r="74" customFormat="1" s="17">
      <c r="A74" s="17" t="inlineStr">
        <is>
          <t>17/02/2026</t>
        </is>
      </c>
      <c r="B74" s="17" t="inlineStr">
        <is>
          <t>17/02/2026</t>
        </is>
      </c>
      <c r="C74" s="17" t="inlineStr">
        <is>
          <t>הע. אינטרנט</t>
        </is>
      </c>
      <c r="D74" s="17" t="n">
        <v>124543</v>
      </c>
      <c r="E74" s="17" t="n">
        <v>177</v>
      </c>
      <c r="F74" s="17" t="n">
        <v>0</v>
      </c>
      <c r="G74" s="19" t="n">
        <v>34631.78</v>
      </c>
      <c r="H74" s="17" t="inlineStr">
        <is>
          <t>העברה אל: אנטילופה שליחויו 11-176-037552272 26901</t>
        </is>
      </c>
    </row>
    <row r="75" customFormat="1" s="17">
      <c r="A75" s="17" t="inlineStr">
        <is>
          <t>18/02/2026</t>
        </is>
      </c>
      <c r="B75" s="17" t="inlineStr">
        <is>
          <t>18/02/2026</t>
        </is>
      </c>
      <c r="C75" s="17" t="inlineStr">
        <is>
          <t>הע. אינטרנט</t>
        </is>
      </c>
      <c r="D75" s="17" t="n">
        <v>116126</v>
      </c>
      <c r="E75" s="17" t="n">
        <v>665</v>
      </c>
      <c r="F75" s="17" t="n">
        <v>0</v>
      </c>
      <c r="G75" s="19" t="n">
        <v>33966.78</v>
      </c>
      <c r="H75" s="17" t="inlineStr">
        <is>
          <t>העברה אל: אבישי שורץ 11-076-006640178 גופי תאורה</t>
        </is>
      </c>
    </row>
    <row r="76" customFormat="1" s="4">
      <c r="A76" s="4" t="inlineStr">
        <is>
          <t>19/02/2026</t>
        </is>
      </c>
      <c r="B76" s="4" t="inlineStr">
        <is>
          <t>19/02/2026</t>
        </is>
      </c>
      <c r="C76" s="4" t="inlineStr">
        <is>
          <t>העברה דיגיטל</t>
        </is>
      </c>
      <c r="D76" s="4" t="n">
        <v>63305</v>
      </c>
      <c r="E76" s="4" t="n">
        <v>0</v>
      </c>
      <c r="F76" s="4" t="n">
        <v>30</v>
      </c>
      <c r="G76" s="3" t="n">
        <v>33996.78</v>
      </c>
      <c r="H76" s="4" t="inlineStr">
        <is>
          <t>העברה מאת: אליאס סמעאן 10-877-003268585 תשלום</t>
        </is>
      </c>
    </row>
    <row r="77" customFormat="1" s="4">
      <c r="A77" s="4" t="inlineStr">
        <is>
          <t>20/02/2026</t>
        </is>
      </c>
      <c r="B77" s="4" t="inlineStr">
        <is>
          <t>20/02/2026</t>
        </is>
      </c>
      <c r="C77" s="4" t="inlineStr">
        <is>
          <t>הפקדת שיק</t>
        </is>
      </c>
      <c r="D77" s="4" t="n">
        <v>14413</v>
      </c>
      <c r="E77" s="4" t="n">
        <v>0</v>
      </c>
      <c r="F77" s="4" t="n">
        <v>350</v>
      </c>
      <c r="G77" s="3" t="n">
        <v>34346.78</v>
      </c>
    </row>
    <row r="78" customFormat="1" s="4">
      <c r="A78" s="4" t="inlineStr">
        <is>
          <t>20/02/2026</t>
        </is>
      </c>
      <c r="B78" s="4" t="inlineStr">
        <is>
          <t>20/02/2026</t>
        </is>
      </c>
      <c r="C78" s="4" t="inlineStr">
        <is>
          <t>הפקדת שיק</t>
        </is>
      </c>
      <c r="D78" s="4" t="n">
        <v>70824</v>
      </c>
      <c r="E78" s="4" t="n">
        <v>0</v>
      </c>
      <c r="F78" s="4" t="n">
        <v>350</v>
      </c>
      <c r="G78" s="3" t="n">
        <v>34696.78</v>
      </c>
    </row>
    <row r="79" customFormat="1" s="17">
      <c r="A79" s="17" t="inlineStr">
        <is>
          <t>22/02/2026</t>
        </is>
      </c>
      <c r="B79" s="17" t="inlineStr">
        <is>
          <t>22/02/2026</t>
        </is>
      </c>
      <c r="C79" s="17" t="inlineStr">
        <is>
          <t>חברת החשמל ל-י</t>
        </is>
      </c>
      <c r="D79" s="17" t="n">
        <v>706</v>
      </c>
      <c r="E79" s="19" t="n">
        <v>3595.06</v>
      </c>
      <c r="F79" s="17" t="n">
        <v>0</v>
      </c>
      <c r="G79" s="19" t="n">
        <v>31101.72</v>
      </c>
    </row>
    <row r="80" customFormat="1" s="17">
      <c r="A80" s="17" t="inlineStr">
        <is>
          <t>22/02/2026</t>
        </is>
      </c>
      <c r="B80" s="17" t="inlineStr">
        <is>
          <t>22/02/2026</t>
        </is>
      </c>
      <c r="C80" s="17" t="inlineStr">
        <is>
          <t>הע. אינטרנט</t>
        </is>
      </c>
      <c r="D80" s="17" t="n">
        <v>167433</v>
      </c>
      <c r="E80" s="17" t="n">
        <v>650</v>
      </c>
      <c r="F80" s="17" t="n">
        <v>0</v>
      </c>
      <c r="G80" s="19" t="n">
        <v>30451.72</v>
      </c>
      <c r="H80" s="17" t="inlineStr">
        <is>
          <t>העברה אל: אבישי שורץ 11-076-006640178 מנורות</t>
        </is>
      </c>
    </row>
    <row r="81" customFormat="1" s="17">
      <c r="A81" s="17" t="inlineStr">
        <is>
          <t>24/02/2026</t>
        </is>
      </c>
      <c r="B81" s="17" t="inlineStr">
        <is>
          <t>24/02/2026</t>
        </is>
      </c>
      <c r="C81" s="17" t="inlineStr">
        <is>
          <t>חברת פרטנר ת-י</t>
        </is>
      </c>
      <c r="D81" s="17" t="n">
        <v>31274</v>
      </c>
      <c r="E81" s="17" t="n">
        <v>90.77</v>
      </c>
      <c r="F81" s="17" t="n">
        <v>0</v>
      </c>
      <c r="G81" s="19" t="n">
        <v>30360.95</v>
      </c>
    </row>
    <row r="82" customFormat="1" s="4">
      <c r="A82" s="4" t="inlineStr">
        <is>
          <t>24/02/2026</t>
        </is>
      </c>
      <c r="B82" s="4" t="inlineStr">
        <is>
          <t>24/02/2026</t>
        </is>
      </c>
      <c r="C82" s="4" t="inlineStr">
        <is>
          <t>העברה דיגיטל</t>
        </is>
      </c>
      <c r="D82" s="4" t="n">
        <v>61144</v>
      </c>
      <c r="E82" s="4" t="n">
        <v>0</v>
      </c>
      <c r="F82" s="4" t="n">
        <v>700</v>
      </c>
      <c r="G82" s="3" t="n">
        <v>31060.95</v>
      </c>
      <c r="H82" s="4" t="inlineStr">
        <is>
          <t>העברה מאת: ירין חיים מל 10-882-046518869 ועד בית</t>
        </is>
      </c>
    </row>
    <row r="83" customFormat="1" s="154">
      <c r="A83" s="154" t="inlineStr">
        <is>
          <t>24/02/2026</t>
        </is>
      </c>
      <c r="B83" s="154" t="inlineStr">
        <is>
          <t>24/02/2026</t>
        </is>
      </c>
      <c r="C83" s="154" t="inlineStr">
        <is>
          <t>העברה דיגיטל</t>
        </is>
      </c>
      <c r="D83" s="154" t="n">
        <v>74494</v>
      </c>
      <c r="E83" s="154" t="n">
        <v>0</v>
      </c>
      <c r="F83" s="154" t="n">
        <v>500</v>
      </c>
      <c r="G83" s="153" t="n">
        <v>31560.95</v>
      </c>
      <c r="H83" s="154" t="inlineStr">
        <is>
          <t>העברה מאת: רביבו מאור 10-885-001567984 קופה קטנה 2026</t>
        </is>
      </c>
    </row>
    <row r="84" customFormat="1" s="154">
      <c r="A84" s="154" t="inlineStr">
        <is>
          <t>25/02/2026</t>
        </is>
      </c>
      <c r="B84" s="154" t="inlineStr">
        <is>
          <t>25/02/2026</t>
        </is>
      </c>
      <c r="C84" s="154" t="inlineStr">
        <is>
          <t>בנק הפועלים</t>
        </is>
      </c>
      <c r="D84" s="154" t="n">
        <v>99012</v>
      </c>
      <c r="E84" s="154" t="n">
        <v>0</v>
      </c>
      <c r="F84" s="154" t="n">
        <v>500</v>
      </c>
      <c r="G84" s="153" t="n">
        <v>32060.95</v>
      </c>
      <c r="H84" s="154" t="inlineStr">
        <is>
          <t>העברה מאת: סיגלוב דמיטרי או 12-703-000021291 קופה קטנה, דירה 34 סיגלוב</t>
        </is>
      </c>
    </row>
    <row r="85" customFormat="1" s="4">
      <c r="A85" s="4" t="inlineStr">
        <is>
          <t>26/02/2026</t>
        </is>
      </c>
      <c r="B85" s="4" t="inlineStr">
        <is>
          <t>26/02/2026</t>
        </is>
      </c>
      <c r="C85" s="4" t="inlineStr">
        <is>
          <t>הפקדת שיק</t>
        </is>
      </c>
      <c r="D85" s="4" t="n">
        <v>51617</v>
      </c>
      <c r="E85" s="4" t="n">
        <v>0</v>
      </c>
      <c r="F85" s="4" t="n">
        <v>350</v>
      </c>
      <c r="G85" s="3" t="n">
        <v>32410.95</v>
      </c>
    </row>
    <row r="86" customFormat="1" s="4">
      <c r="A86" s="4" t="inlineStr">
        <is>
          <t>27/02/2026</t>
        </is>
      </c>
      <c r="B86" s="4" t="inlineStr">
        <is>
          <t>27/02/2026</t>
        </is>
      </c>
      <c r="C86" s="4" t="inlineStr">
        <is>
          <t>הפקדת שיק</t>
        </is>
      </c>
      <c r="D86" s="4" t="n">
        <v>61982</v>
      </c>
      <c r="E86" s="4" t="n">
        <v>0</v>
      </c>
      <c r="F86" s="4" t="n">
        <v>410</v>
      </c>
      <c r="G86" s="3" t="n">
        <v>32820.95</v>
      </c>
    </row>
    <row r="87" customFormat="1" s="17">
      <c r="A87" s="17" t="inlineStr">
        <is>
          <t>27/02/2026</t>
        </is>
      </c>
      <c r="B87" s="17" t="inlineStr">
        <is>
          <t>27/02/2026</t>
        </is>
      </c>
      <c r="C87" s="17" t="inlineStr">
        <is>
          <t>קונה בע"מ-י</t>
        </is>
      </c>
      <c r="D87" s="17" t="n">
        <v>1086</v>
      </c>
      <c r="E87" s="19" t="n">
        <v>4361.79</v>
      </c>
      <c r="F87" s="17" t="n">
        <v>0</v>
      </c>
      <c r="G87" s="19" t="n">
        <v>28459.16</v>
      </c>
    </row>
    <row r="88" customFormat="1" s="4">
      <c r="A88" s="4" t="inlineStr">
        <is>
          <t>27/02/2026</t>
        </is>
      </c>
      <c r="B88" s="4" t="inlineStr">
        <is>
          <t>27/02/2026</t>
        </is>
      </c>
      <c r="C88" s="4" t="inlineStr">
        <is>
          <t>הוראת קבע</t>
        </is>
      </c>
      <c r="D88" s="4" t="n">
        <v>4837872</v>
      </c>
      <c r="E88" s="4" t="n">
        <v>0</v>
      </c>
      <c r="F88" s="4" t="n">
        <v>350</v>
      </c>
      <c r="G88" s="3" t="n">
        <v>28809.16</v>
      </c>
      <c r="H88" s="4" t="inlineStr">
        <is>
          <t>העברה מאת: תמר ברנר, דן ברנ 10-885-004050720 ועד בית דירה 49</t>
        </is>
      </c>
    </row>
  </sheetData>
  <mergeCells count="18">
    <mergeCell ref="A6:B6"/>
    <mergeCell ref="E6:F6"/>
    <mergeCell ref="C6:D6"/>
    <mergeCell ref="A2:I2"/>
    <mergeCell ref="C7:D7"/>
    <mergeCell ref="A10:I10"/>
    <mergeCell ref="E7:F7"/>
    <mergeCell ref="A7:B7"/>
    <mergeCell ref="C5:D5"/>
    <mergeCell ref="A5:B5"/>
    <mergeCell ref="A1:I1"/>
    <mergeCell ref="E5:F5"/>
    <mergeCell ref="A9:I9"/>
    <mergeCell ref="A3:I3"/>
    <mergeCell ref="A8:B8"/>
    <mergeCell ref="A4:I4"/>
    <mergeCell ref="E8:F8"/>
    <mergeCell ref="C8:D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3"/>
  <sheetViews>
    <sheetView rightToLeft="1" topLeftCell="A74" workbookViewId="0">
      <selection activeCell="E84" sqref="E84"/>
    </sheetView>
  </sheetViews>
  <sheetFormatPr baseColWidth="8" defaultRowHeight="15"/>
  <cols>
    <col width="9.85546875" bestFit="1" customWidth="1" style="197" min="1" max="1"/>
    <col width="9.7109375" customWidth="1" style="197" min="2" max="2"/>
    <col width="9.5703125" bestFit="1" customWidth="1" style="197" min="7" max="7"/>
  </cols>
  <sheetData>
    <row r="1">
      <c r="A1" s="209" t="inlineStr">
        <is>
          <t>בנק לאומי |</t>
        </is>
      </c>
    </row>
    <row r="2">
      <c r="A2" s="209" t="inlineStr">
        <is>
          <t>מס' חשבון : ‏‏ ‎885-37554/82‎</t>
        </is>
      </c>
    </row>
    <row r="3">
      <c r="A3" s="209" t="inlineStr">
        <is>
          <t>תאריך שמירה/הדפסה: 11/3/2026</t>
        </is>
      </c>
    </row>
    <row r="4">
      <c r="A4" s="210" t="n"/>
    </row>
    <row r="5">
      <c r="A5" s="209" t="inlineStr">
        <is>
          <t>היתרה</t>
        </is>
      </c>
      <c r="C5" s="209" t="inlineStr">
        <is>
          <t>מסגרת האשראי</t>
        </is>
      </c>
      <c r="E5" s="209" t="inlineStr">
        <is>
          <t>נכון לתאריך</t>
        </is>
      </c>
      <c r="G5" s="210" t="n"/>
      <c r="H5" s="210" t="n"/>
      <c r="I5" s="210" t="n"/>
    </row>
    <row r="6">
      <c r="A6" s="210" t="n"/>
      <c r="C6" s="210" t="n"/>
      <c r="E6" s="210" t="n"/>
      <c r="G6" s="210" t="n"/>
      <c r="H6" s="210" t="n"/>
      <c r="I6" s="210" t="n"/>
    </row>
    <row r="7">
      <c r="A7" s="210" t="inlineStr">
        <is>
          <t>₪ 23,564.48</t>
        </is>
      </c>
      <c r="C7" s="210" t="inlineStr">
        <is>
          <t>₪ 0.00</t>
        </is>
      </c>
      <c r="E7" s="210" t="inlineStr">
        <is>
          <t>11.03.26</t>
        </is>
      </c>
      <c r="G7" s="210" t="n"/>
      <c r="H7" s="210" t="n"/>
      <c r="I7" s="210" t="n"/>
    </row>
    <row r="8">
      <c r="A8" s="210" t="inlineStr">
        <is>
          <t>* כולל תנועות היום</t>
        </is>
      </c>
      <c r="C8" s="210" t="n"/>
      <c r="E8" s="210" t="n"/>
      <c r="G8" s="210" t="n"/>
      <c r="H8" s="210" t="n"/>
      <c r="I8" s="210" t="n"/>
    </row>
    <row r="9">
      <c r="A9" s="210" t="n"/>
    </row>
    <row r="10">
      <c r="A10" s="210" t="n"/>
    </row>
    <row r="11">
      <c r="A11" s="210" t="inlineStr">
        <is>
          <t>* פירוט הפעולות להיום אינו סופי ועשוי להשתנות / לא להתבצע. יתכן שתהיינה פעולות נוספות שלא מופיעות בשלב זה</t>
        </is>
      </c>
    </row>
    <row r="12">
      <c r="A12" s="209" t="inlineStr">
        <is>
          <t>תנועות בחשבון</t>
        </is>
      </c>
    </row>
    <row r="13">
      <c r="A13" s="209" t="inlineStr">
        <is>
          <t>תאריך</t>
        </is>
      </c>
      <c r="B13" s="209" t="inlineStr">
        <is>
          <t>תאריך ערך</t>
        </is>
      </c>
      <c r="C13" s="209" t="inlineStr">
        <is>
          <t>תיאור</t>
        </is>
      </c>
      <c r="D13" s="209" t="inlineStr">
        <is>
          <t>אסמכתא</t>
        </is>
      </c>
      <c r="E13" s="209" t="inlineStr">
        <is>
          <t>בחובה</t>
        </is>
      </c>
      <c r="F13" s="209" t="inlineStr">
        <is>
          <t>בזכות</t>
        </is>
      </c>
      <c r="G13" s="209" t="inlineStr">
        <is>
          <t>היתרה בש"ח</t>
        </is>
      </c>
      <c r="H13" s="209" t="inlineStr">
        <is>
          <t>תאור מורחב</t>
        </is>
      </c>
      <c r="I13" s="209" t="inlineStr">
        <is>
          <t xml:space="preserve">  הערה</t>
        </is>
      </c>
    </row>
    <row r="14" customFormat="1" s="17">
      <c r="A14" s="155" t="n">
        <v>46025</v>
      </c>
      <c r="B14" s="155" t="n">
        <v>46025</v>
      </c>
      <c r="C14" s="156" t="inlineStr">
        <is>
          <t>בזק-הוראות ק-י</t>
        </is>
      </c>
      <c r="D14" s="157" t="n">
        <v>703</v>
      </c>
      <c r="E14" s="157" t="n">
        <v>24.57</v>
      </c>
      <c r="F14" s="157" t="n">
        <v>0</v>
      </c>
      <c r="G14" s="158" t="n">
        <v>28784.59</v>
      </c>
      <c r="H14" s="157" t="n"/>
      <c r="I14" s="157" t="n"/>
    </row>
    <row r="15" customFormat="1" s="17">
      <c r="A15" s="155" t="n">
        <v>46025</v>
      </c>
      <c r="B15" s="155" t="n">
        <v>46025</v>
      </c>
      <c r="C15" s="156" t="inlineStr">
        <is>
          <t>נובולה בע"מ-י</t>
        </is>
      </c>
      <c r="D15" s="157" t="n">
        <v>42663</v>
      </c>
      <c r="E15" s="157" t="n">
        <v>77</v>
      </c>
      <c r="F15" s="157" t="n">
        <v>0</v>
      </c>
      <c r="G15" s="158" t="n">
        <v>28707.59</v>
      </c>
      <c r="H15" s="157" t="n"/>
      <c r="I15" s="157" t="n"/>
    </row>
    <row r="16" customFormat="1" s="4">
      <c r="A16" s="160" t="n">
        <v>46025</v>
      </c>
      <c r="B16" s="160" t="n">
        <v>46025</v>
      </c>
      <c r="C16" s="161" t="inlineStr">
        <is>
          <t>בנק הפועלים</t>
        </is>
      </c>
      <c r="D16" s="162" t="n">
        <v>99012</v>
      </c>
      <c r="E16" s="162" t="n">
        <v>0</v>
      </c>
      <c r="F16" s="162" t="n">
        <v>320</v>
      </c>
      <c r="G16" s="163" t="n">
        <v>29027.59</v>
      </c>
      <c r="H16" s="161" t="inlineStr">
        <is>
          <t>העברה מאת: ברייב יולי 12-701-000404014 ועד בית</t>
        </is>
      </c>
      <c r="I16" s="162" t="n"/>
    </row>
    <row r="17" customFormat="1" s="4">
      <c r="A17" s="160" t="n">
        <v>46025</v>
      </c>
      <c r="B17" s="160" t="n">
        <v>46025</v>
      </c>
      <c r="C17" s="161" t="inlineStr">
        <is>
          <t>הוראת קבע</t>
        </is>
      </c>
      <c r="D17" s="162" t="n">
        <v>4873628</v>
      </c>
      <c r="E17" s="162" t="n">
        <v>0</v>
      </c>
      <c r="F17" s="162" t="n">
        <v>350</v>
      </c>
      <c r="G17" s="163" t="n">
        <v>29377.59</v>
      </c>
      <c r="H17" s="161" t="inlineStr">
        <is>
          <t>העברה מאת: אליזבט בינשטוק, 10-891-003641132 תשלום בהוראת קבע</t>
        </is>
      </c>
      <c r="I17" s="162" t="n"/>
    </row>
    <row r="18" customFormat="1" s="17">
      <c r="A18" s="155" t="n">
        <v>46025</v>
      </c>
      <c r="B18" s="155" t="n">
        <v>46025</v>
      </c>
      <c r="C18" s="156" t="inlineStr">
        <is>
          <t>מסלול מורחב</t>
        </is>
      </c>
      <c r="D18" s="157" t="n">
        <v>13637</v>
      </c>
      <c r="E18" s="157" t="n">
        <v>25</v>
      </c>
      <c r="F18" s="157" t="n">
        <v>0</v>
      </c>
      <c r="G18" s="158" t="n">
        <v>29352.59</v>
      </c>
      <c r="H18" s="157" t="n"/>
      <c r="I18" s="157" t="n"/>
    </row>
    <row r="19" customFormat="1" s="17">
      <c r="A19" s="155" t="n">
        <v>46025</v>
      </c>
      <c r="B19" s="155" t="n">
        <v>46025</v>
      </c>
      <c r="C19" s="156" t="inlineStr">
        <is>
          <t>עמל.ערוץ יש 15</t>
        </is>
      </c>
      <c r="D19" s="157" t="n">
        <v>15</v>
      </c>
      <c r="E19" s="157" t="n">
        <v>24.75</v>
      </c>
      <c r="F19" s="157" t="n">
        <v>0</v>
      </c>
      <c r="G19" s="158" t="n">
        <v>29327.84</v>
      </c>
      <c r="H19" s="156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  <c r="I19" s="157" t="n"/>
    </row>
    <row r="20" customFormat="1" s="17">
      <c r="A20" s="155" t="n">
        <v>46056</v>
      </c>
      <c r="B20" s="155" t="n">
        <v>46056</v>
      </c>
      <c r="C20" s="156" t="inlineStr">
        <is>
          <t>נובולה בע"מ-י</t>
        </is>
      </c>
      <c r="D20" s="157" t="n">
        <v>42663</v>
      </c>
      <c r="E20" s="157" t="n">
        <v>74.25</v>
      </c>
      <c r="F20" s="157" t="n">
        <v>0</v>
      </c>
      <c r="G20" s="158" t="n">
        <v>29253.59</v>
      </c>
      <c r="H20" s="157" t="n"/>
      <c r="I20" s="157" t="n"/>
    </row>
    <row r="21" customFormat="1" s="4">
      <c r="A21" s="160" t="n">
        <v>46056</v>
      </c>
      <c r="B21" s="160" t="n">
        <v>46056</v>
      </c>
      <c r="C21" s="161" t="inlineStr">
        <is>
          <t>בנק הפועלים</t>
        </is>
      </c>
      <c r="D21" s="162" t="n">
        <v>99012</v>
      </c>
      <c r="E21" s="162" t="n">
        <v>0</v>
      </c>
      <c r="F21" s="162" t="n">
        <v>350</v>
      </c>
      <c r="G21" s="163" t="n">
        <v>29603.59</v>
      </c>
      <c r="H21" s="161" t="inlineStr">
        <is>
          <t>העברה מאת: רועי ולי-ש 12-700-000616685 ועד בית</t>
        </is>
      </c>
      <c r="I21" s="162" t="n"/>
    </row>
    <row r="22" customFormat="1" s="4">
      <c r="A22" s="160" t="n">
        <v>46056</v>
      </c>
      <c r="B22" s="160" t="n">
        <v>46056</v>
      </c>
      <c r="C22" s="161" t="inlineStr">
        <is>
          <t>בנק הפועלים</t>
        </is>
      </c>
      <c r="D22" s="162" t="n">
        <v>99012</v>
      </c>
      <c r="E22" s="162" t="n">
        <v>0</v>
      </c>
      <c r="F22" s="162" t="n">
        <v>350</v>
      </c>
      <c r="G22" s="163" t="n">
        <v>29953.59</v>
      </c>
      <c r="H22" s="161" t="inlineStr">
        <is>
          <t>העברה מאת: מנגיסטו דג 12-703-000091338 לוועד הבית</t>
        </is>
      </c>
      <c r="I22" s="162" t="n"/>
    </row>
    <row r="23" customFormat="1" s="4">
      <c r="A23" s="160" t="n">
        <v>46056</v>
      </c>
      <c r="B23" s="160" t="n">
        <v>46056</v>
      </c>
      <c r="C23" s="161" t="inlineStr">
        <is>
          <t>הוראת קבע</t>
        </is>
      </c>
      <c r="D23" s="162" t="n">
        <v>4668970</v>
      </c>
      <c r="E23" s="162" t="n">
        <v>0</v>
      </c>
      <c r="F23" s="162" t="n">
        <v>350</v>
      </c>
      <c r="G23" s="163" t="n">
        <v>30303.59</v>
      </c>
      <c r="H23" s="161" t="inlineStr">
        <is>
          <t>העברה מאת: פריידמן נטליה 10-882-044876260 תשלום</t>
        </is>
      </c>
      <c r="I23" s="162" t="n"/>
    </row>
    <row r="24" customFormat="1" s="4">
      <c r="A24" s="160" t="n">
        <v>46115</v>
      </c>
      <c r="B24" s="160" t="n">
        <v>46115</v>
      </c>
      <c r="C24" s="161" t="inlineStr">
        <is>
          <t>הוראת קבע</t>
        </is>
      </c>
      <c r="D24" s="162" t="n">
        <v>4878373</v>
      </c>
      <c r="E24" s="162" t="n">
        <v>0</v>
      </c>
      <c r="F24" s="162" t="n">
        <v>350</v>
      </c>
      <c r="G24" s="163" t="n">
        <v>30653.59</v>
      </c>
      <c r="H24" s="161" t="inlineStr">
        <is>
          <t>העברה מאת: גל ברזני, שני ול 10-635-001111123 וועד בית דירה 56</t>
        </is>
      </c>
      <c r="I24" s="162" t="n"/>
    </row>
    <row r="25" customFormat="1" s="4">
      <c r="A25" s="160" t="n">
        <v>46145</v>
      </c>
      <c r="B25" s="160" t="n">
        <v>46145</v>
      </c>
      <c r="C25" s="161" t="inlineStr">
        <is>
          <t>בנק דיסקונט</t>
        </is>
      </c>
      <c r="D25" s="162" t="n">
        <v>99011</v>
      </c>
      <c r="E25" s="162" t="n">
        <v>0</v>
      </c>
      <c r="F25" s="162" t="n">
        <v>320</v>
      </c>
      <c r="G25" s="163" t="n">
        <v>30973.59</v>
      </c>
      <c r="H25" s="161" t="inlineStr">
        <is>
          <t>העברה מאת: אסרף אורטל 11-107-081754738</t>
        </is>
      </c>
      <c r="I25" s="162" t="n"/>
    </row>
    <row r="26" customFormat="1" s="4">
      <c r="A26" s="160" t="n">
        <v>46145</v>
      </c>
      <c r="B26" s="160" t="n">
        <v>46145</v>
      </c>
      <c r="C26" s="161" t="inlineStr">
        <is>
          <t>בנק אוצר החיל</t>
        </is>
      </c>
      <c r="D26" s="162" t="n">
        <v>99014</v>
      </c>
      <c r="E26" s="162" t="n">
        <v>0</v>
      </c>
      <c r="F26" s="162" t="n">
        <v>350</v>
      </c>
      <c r="G26" s="163" t="n">
        <v>31323.59</v>
      </c>
      <c r="H26" s="161" t="inlineStr">
        <is>
          <t>העברה מאת: כחלון שלו ו/או ח 14-350-105236062 וועד בית דירה 25 (הערת לקוח)</t>
        </is>
      </c>
      <c r="I26" s="162" t="n"/>
    </row>
    <row r="27" customFormat="1" s="4">
      <c r="A27" s="160" t="n">
        <v>46145</v>
      </c>
      <c r="B27" s="160" t="n">
        <v>46145</v>
      </c>
      <c r="C27" s="161" t="inlineStr">
        <is>
          <t>הוראת קבע</t>
        </is>
      </c>
      <c r="D27" s="162" t="n">
        <v>4789577</v>
      </c>
      <c r="E27" s="162" t="n">
        <v>0</v>
      </c>
      <c r="F27" s="162" t="n">
        <v>350</v>
      </c>
      <c r="G27" s="163" t="n">
        <v>31673.59</v>
      </c>
      <c r="H27" s="161" t="inlineStr">
        <is>
          <t>העברה מאת: קטרינה שליאק 10-838-002943311 דירה 43 משפחת שליאק</t>
        </is>
      </c>
      <c r="I27" s="162" t="n"/>
    </row>
    <row r="28" customFormat="1" s="17">
      <c r="A28" s="155" t="n">
        <v>46145</v>
      </c>
      <c r="B28" s="155" t="n">
        <v>46145</v>
      </c>
      <c r="C28" s="156" t="inlineStr">
        <is>
          <t>העברה דיגיטל</t>
        </is>
      </c>
      <c r="D28" s="157" t="n">
        <v>136684</v>
      </c>
      <c r="E28" s="157" t="n">
        <v>900</v>
      </c>
      <c r="F28" s="157" t="n">
        <v>0</v>
      </c>
      <c r="G28" s="158" t="n">
        <v>30773.59</v>
      </c>
      <c r="H28" s="156" t="inlineStr">
        <is>
          <t>העברה אל: חלבי כרמי ות 10-981-002104267 גינון</t>
        </is>
      </c>
      <c r="I28" s="157" t="n"/>
    </row>
    <row r="29" customFormat="1" s="154">
      <c r="A29" s="164" t="n">
        <v>46176</v>
      </c>
      <c r="B29" s="164" t="n">
        <v>46176</v>
      </c>
      <c r="C29" s="165" t="inlineStr">
        <is>
          <t>בנק אוצר החיל</t>
        </is>
      </c>
      <c r="D29" s="166" t="n">
        <v>99014</v>
      </c>
      <c r="E29" s="166" t="n">
        <v>0</v>
      </c>
      <c r="F29" s="166" t="n">
        <v>500</v>
      </c>
      <c r="G29" s="167" t="n">
        <v>31273.59</v>
      </c>
      <c r="H29" s="165" t="inlineStr">
        <is>
          <t>העברה מאת: מקייס סאספורתס ק 14-362-105318123 ועד (הערת לקוח)</t>
        </is>
      </c>
      <c r="I29" s="166" t="n"/>
    </row>
    <row r="30" customFormat="1" s="4">
      <c r="A30" s="160" t="n">
        <v>46176</v>
      </c>
      <c r="B30" s="160" t="n">
        <v>46176</v>
      </c>
      <c r="C30" s="161" t="inlineStr">
        <is>
          <t>הוראת קבע</t>
        </is>
      </c>
      <c r="D30" s="162" t="n">
        <v>4870113</v>
      </c>
      <c r="E30" s="162" t="n">
        <v>0</v>
      </c>
      <c r="F30" s="162" t="n">
        <v>350</v>
      </c>
      <c r="G30" s="163" t="n">
        <v>31623.59</v>
      </c>
      <c r="H30" s="161" t="inlineStr">
        <is>
          <t>העברה מאת: היבה ריזק 10-840-002040614 ועד בית דירה 32 קומה 7</t>
        </is>
      </c>
      <c r="I30" s="162" t="n"/>
    </row>
    <row r="31" customFormat="1" s="4">
      <c r="A31" s="160" t="n">
        <v>46237</v>
      </c>
      <c r="B31" s="160" t="n">
        <v>46237</v>
      </c>
      <c r="C31" s="161" t="inlineStr">
        <is>
          <t>בנק הפועלים</t>
        </is>
      </c>
      <c r="D31" s="162" t="n">
        <v>99012</v>
      </c>
      <c r="E31" s="162" t="n">
        <v>0</v>
      </c>
      <c r="F31" s="162" t="n">
        <v>350</v>
      </c>
      <c r="G31" s="163" t="n">
        <v>31973.59</v>
      </c>
      <c r="H31" s="161" t="inlineStr">
        <is>
          <t>העברה מאת: זאדה הודיה 12-703-000404555 תשלום חודשי משפחת זאדה</t>
        </is>
      </c>
      <c r="I31" s="162" t="n"/>
    </row>
    <row r="32" customFormat="1" s="4">
      <c r="A32" s="160" t="n">
        <v>46268</v>
      </c>
      <c r="B32" s="160" t="n">
        <v>46268</v>
      </c>
      <c r="C32" s="161" t="inlineStr">
        <is>
          <t>הוראת קבע</t>
        </is>
      </c>
      <c r="D32" s="162" t="n">
        <v>4763312</v>
      </c>
      <c r="E32" s="162" t="n">
        <v>0</v>
      </c>
      <c r="F32" s="162" t="n">
        <v>350</v>
      </c>
      <c r="G32" s="163" t="n">
        <v>32323.59</v>
      </c>
      <c r="H32" s="161" t="inlineStr">
        <is>
          <t>העברה מאת: יוספה אמור, בנימ 10-885-000271821 תשלום בהוראת קבע</t>
        </is>
      </c>
      <c r="I32" s="162" t="n"/>
    </row>
    <row r="33" customFormat="1" s="4">
      <c r="A33" s="160" t="n">
        <v>46268</v>
      </c>
      <c r="B33" s="160" t="n">
        <v>46268</v>
      </c>
      <c r="C33" s="161" t="inlineStr">
        <is>
          <t>הוראת קבע</t>
        </is>
      </c>
      <c r="D33" s="162" t="n">
        <v>4899758</v>
      </c>
      <c r="E33" s="162" t="n">
        <v>0</v>
      </c>
      <c r="F33" s="162" t="n">
        <v>350</v>
      </c>
      <c r="G33" s="163" t="n">
        <v>32673.59</v>
      </c>
      <c r="H33" s="161" t="inlineStr">
        <is>
          <t>העברה מאת: וולושין אלכסנדר 10-879-057984481 ועד בית</t>
        </is>
      </c>
      <c r="I33" s="162" t="n"/>
    </row>
    <row r="34" customFormat="1" s="17">
      <c r="A34" s="155" t="n">
        <v>46268</v>
      </c>
      <c r="B34" s="155" t="n">
        <v>46268</v>
      </c>
      <c r="C34" s="156" t="inlineStr">
        <is>
          <t>הוראת קבע</t>
        </is>
      </c>
      <c r="D34" s="157" t="n">
        <v>4932477</v>
      </c>
      <c r="E34" s="158" t="n">
        <v>7500</v>
      </c>
      <c r="F34" s="157" t="n">
        <v>0</v>
      </c>
      <c r="G34" s="158" t="n">
        <v>25173.59</v>
      </c>
      <c r="H34" s="156" t="inlineStr">
        <is>
          <t>העברה ל: גל אנתבי 20-505-00159972 תאריך סיום: 09.12.2027 ניקיון האגמית 7</t>
        </is>
      </c>
      <c r="I34" s="157" t="n"/>
    </row>
    <row r="35" customFormat="1" s="17">
      <c r="A35" s="155" t="n">
        <v>46298</v>
      </c>
      <c r="B35" s="155" t="n">
        <v>46298</v>
      </c>
      <c r="C35" s="156" t="inlineStr">
        <is>
          <t>ש.שלמה חברה-י</t>
        </is>
      </c>
      <c r="D35" s="157" t="n">
        <v>44855</v>
      </c>
      <c r="E35" s="157" t="n">
        <v>979</v>
      </c>
      <c r="F35" s="157" t="n">
        <v>0</v>
      </c>
      <c r="G35" s="158" t="n">
        <v>24194.59</v>
      </c>
      <c r="H35" s="157" t="n"/>
      <c r="I35" s="157" t="n"/>
    </row>
    <row r="36" customFormat="1" s="4">
      <c r="A36" s="160" t="n">
        <v>46298</v>
      </c>
      <c r="B36" s="160" t="n">
        <v>46298</v>
      </c>
      <c r="C36" s="161" t="inlineStr">
        <is>
          <t>בנק דיסקונט</t>
        </is>
      </c>
      <c r="D36" s="162" t="n">
        <v>99011</v>
      </c>
      <c r="E36" s="162" t="n">
        <v>0</v>
      </c>
      <c r="F36" s="162" t="n">
        <v>350</v>
      </c>
      <c r="G36" s="163" t="n">
        <v>24544.59</v>
      </c>
      <c r="H36" s="161" t="inlineStr">
        <is>
          <t>העברה מאת: סימקין טרוסטיאני 11-097-132698643 ועד הבית - סימקין דירה 21</t>
        </is>
      </c>
      <c r="I36" s="162" t="n"/>
    </row>
    <row r="37" customFormat="1" s="4">
      <c r="A37" s="160" t="n">
        <v>46298</v>
      </c>
      <c r="B37" s="160" t="n">
        <v>46298</v>
      </c>
      <c r="C37" s="161" t="inlineStr">
        <is>
          <t>בנק דיסקונט</t>
        </is>
      </c>
      <c r="D37" s="162" t="n">
        <v>99011</v>
      </c>
      <c r="E37" s="162" t="n">
        <v>0</v>
      </c>
      <c r="F37" s="162" t="n">
        <v>350</v>
      </c>
      <c r="G37" s="163" t="n">
        <v>24894.59</v>
      </c>
      <c r="H37" s="161" t="inlineStr">
        <is>
          <t>העברה מאת: רומנו לינצקי סיו 11-107-075555974</t>
        </is>
      </c>
      <c r="I37" s="162" t="n"/>
    </row>
    <row r="38" customFormat="1" s="4">
      <c r="A38" s="160" t="n">
        <v>46298</v>
      </c>
      <c r="B38" s="160" t="n">
        <v>46298</v>
      </c>
      <c r="C38" s="161" t="inlineStr">
        <is>
          <t>בנק דיסקונט</t>
        </is>
      </c>
      <c r="D38" s="162" t="n">
        <v>99011</v>
      </c>
      <c r="E38" s="162" t="n">
        <v>0</v>
      </c>
      <c r="F38" s="162" t="n">
        <v>350</v>
      </c>
      <c r="G38" s="163" t="n">
        <v>25244.59</v>
      </c>
      <c r="H38" s="161" t="inlineStr">
        <is>
          <t>העברה מאת: שרביט גל,טויזר נ 11-107-205119303 דירה 60</t>
        </is>
      </c>
      <c r="I38" s="162" t="n"/>
    </row>
    <row r="39" customFormat="1" s="4">
      <c r="A39" s="160" t="n">
        <v>46298</v>
      </c>
      <c r="B39" s="160" t="n">
        <v>46298</v>
      </c>
      <c r="C39" s="161" t="inlineStr">
        <is>
          <t>בנק הפועלים</t>
        </is>
      </c>
      <c r="D39" s="162" t="n">
        <v>99012</v>
      </c>
      <c r="E39" s="162" t="n">
        <v>0</v>
      </c>
      <c r="F39" s="162" t="n">
        <v>350</v>
      </c>
      <c r="G39" s="163" t="n">
        <v>25594.59</v>
      </c>
      <c r="H39" s="161" t="inlineStr">
        <is>
          <t>העברה מאת: בייבקוב קו 12-701-000262613 דירה 9</t>
        </is>
      </c>
      <c r="I39" s="162" t="n"/>
    </row>
    <row r="40" customFormat="1" s="4">
      <c r="A40" s="160" t="n">
        <v>46298</v>
      </c>
      <c r="B40" s="160" t="n">
        <v>46298</v>
      </c>
      <c r="C40" s="161" t="inlineStr">
        <is>
          <t>בנק הפועלים</t>
        </is>
      </c>
      <c r="D40" s="162" t="n">
        <v>99012</v>
      </c>
      <c r="E40" s="162" t="n">
        <v>0</v>
      </c>
      <c r="F40" s="162" t="n">
        <v>350</v>
      </c>
      <c r="G40" s="163" t="n">
        <v>25944.59</v>
      </c>
      <c r="H40" s="161" t="inlineStr">
        <is>
          <t>העברה מאת: צ`רניאק בו 12-703-000466089 דירה 44, תשלום ועד</t>
        </is>
      </c>
      <c r="I40" s="162" t="n"/>
    </row>
    <row r="41" customFormat="1" s="4">
      <c r="A41" s="160" t="n">
        <v>46298</v>
      </c>
      <c r="B41" s="160" t="n">
        <v>46298</v>
      </c>
      <c r="C41" s="161" t="inlineStr">
        <is>
          <t>בנק הפועלים</t>
        </is>
      </c>
      <c r="D41" s="162" t="n">
        <v>99012</v>
      </c>
      <c r="E41" s="162" t="n">
        <v>0</v>
      </c>
      <c r="F41" s="162" t="n">
        <v>350</v>
      </c>
      <c r="G41" s="163" t="n">
        <v>26294.59</v>
      </c>
      <c r="H41" s="161" t="inlineStr">
        <is>
          <t>העברה מאת: אל איי הנד 12-703-000496840 ועד דירה 57</t>
        </is>
      </c>
      <c r="I41" s="162" t="n"/>
    </row>
    <row r="42" customFormat="1" s="4">
      <c r="A42" s="160" t="n">
        <v>46298</v>
      </c>
      <c r="B42" s="160" t="n">
        <v>46298</v>
      </c>
      <c r="C42" s="161" t="inlineStr">
        <is>
          <t>בנק הפועלים</t>
        </is>
      </c>
      <c r="D42" s="162" t="n">
        <v>99012</v>
      </c>
      <c r="E42" s="162" t="n">
        <v>0</v>
      </c>
      <c r="F42" s="162" t="n">
        <v>350</v>
      </c>
      <c r="G42" s="163" t="n">
        <v>26644.59</v>
      </c>
      <c r="H42" s="161" t="inlineStr">
        <is>
          <t>העברה מאת: אסולין יעק 12-704-000263394 ועד בית</t>
        </is>
      </c>
      <c r="I42" s="162" t="n"/>
    </row>
    <row r="43" customFormat="1" s="4">
      <c r="A43" s="160" t="n">
        <v>46298</v>
      </c>
      <c r="B43" s="160" t="n">
        <v>46298</v>
      </c>
      <c r="C43" s="161" t="inlineStr">
        <is>
          <t>בנק הפועלים</t>
        </is>
      </c>
      <c r="D43" s="162" t="n">
        <v>99012</v>
      </c>
      <c r="E43" s="162" t="n">
        <v>0</v>
      </c>
      <c r="F43" s="162" t="n">
        <v>350</v>
      </c>
      <c r="G43" s="163" t="n">
        <v>26994.59</v>
      </c>
      <c r="H43" s="161" t="inlineStr">
        <is>
          <t>העברה מאת: פולונסקי א 12-728-000012111 דירה 52</t>
        </is>
      </c>
      <c r="I43" s="162" t="n"/>
    </row>
    <row r="44" customFormat="1" s="4">
      <c r="A44" s="160" t="n">
        <v>46298</v>
      </c>
      <c r="B44" s="160" t="n">
        <v>46298</v>
      </c>
      <c r="C44" s="161" t="inlineStr">
        <is>
          <t>בנק הפועלים</t>
        </is>
      </c>
      <c r="D44" s="162" t="n">
        <v>99012</v>
      </c>
      <c r="E44" s="162" t="n">
        <v>0</v>
      </c>
      <c r="F44" s="162" t="n">
        <v>350</v>
      </c>
      <c r="G44" s="163" t="n">
        <v>27344.59</v>
      </c>
      <c r="H44" s="161" t="inlineStr">
        <is>
          <t>העברה מאת: מוגילבסקי 12-728-000685973 תשלום וועד דירה 55</t>
        </is>
      </c>
      <c r="I44" s="162" t="n"/>
    </row>
    <row r="45" customFormat="1" s="4">
      <c r="A45" s="160" t="n">
        <v>46298</v>
      </c>
      <c r="B45" s="160" t="n">
        <v>46298</v>
      </c>
      <c r="C45" s="161" t="inlineStr">
        <is>
          <t>בנק אוצר החיל</t>
        </is>
      </c>
      <c r="D45" s="162" t="n">
        <v>99014</v>
      </c>
      <c r="E45" s="162" t="n">
        <v>0</v>
      </c>
      <c r="F45" s="162" t="n">
        <v>350</v>
      </c>
      <c r="G45" s="163" t="n">
        <v>27694.59</v>
      </c>
      <c r="H45" s="161" t="inlineStr">
        <is>
          <t>העברה מאת: כהן אביאל 14-350-000175551 ועד בית</t>
        </is>
      </c>
      <c r="I45" s="162" t="n"/>
    </row>
    <row r="46" customFormat="1" s="4">
      <c r="A46" s="160" t="n">
        <v>46298</v>
      </c>
      <c r="B46" s="160" t="n">
        <v>46298</v>
      </c>
      <c r="C46" s="161" t="inlineStr">
        <is>
          <t>בנק אוצר החיל</t>
        </is>
      </c>
      <c r="D46" s="162" t="n">
        <v>99014</v>
      </c>
      <c r="E46" s="162" t="n">
        <v>0</v>
      </c>
      <c r="F46" s="162" t="n">
        <v>350</v>
      </c>
      <c r="G46" s="163" t="n">
        <v>28044.59</v>
      </c>
      <c r="H46" s="161" t="inlineStr">
        <is>
          <t>העברה מאת: זלץ ניר ו/או נט 14-362-105079420 העברה לוועד בית</t>
        </is>
      </c>
      <c r="I46" s="162" t="n"/>
    </row>
    <row r="47" customFormat="1" s="4">
      <c r="A47" s="160" t="n">
        <v>46298</v>
      </c>
      <c r="B47" s="160" t="n">
        <v>46298</v>
      </c>
      <c r="C47" s="161" t="inlineStr">
        <is>
          <t>בנק אוצר החיל</t>
        </is>
      </c>
      <c r="D47" s="162" t="n">
        <v>99014</v>
      </c>
      <c r="E47" s="162" t="n">
        <v>0</v>
      </c>
      <c r="F47" s="162" t="n">
        <v>350</v>
      </c>
      <c r="G47" s="163" t="n">
        <v>28394.59</v>
      </c>
      <c r="H47" s="161" t="inlineStr">
        <is>
          <t>העברה מאת: איטח ענת ו/או רפ 14-362-000321489 איטח ענת ורפי</t>
        </is>
      </c>
      <c r="I47" s="162" t="n"/>
    </row>
    <row r="48" customFormat="1" s="4">
      <c r="A48" s="160" t="n">
        <v>46298</v>
      </c>
      <c r="B48" s="160" t="n">
        <v>46298</v>
      </c>
      <c r="C48" s="161" t="inlineStr">
        <is>
          <t>בנק מזרחי</t>
        </is>
      </c>
      <c r="D48" s="162" t="n">
        <v>99020</v>
      </c>
      <c r="E48" s="162" t="n">
        <v>0</v>
      </c>
      <c r="F48" s="162" t="n">
        <v>350</v>
      </c>
      <c r="G48" s="163" t="n">
        <v>28744.59</v>
      </c>
      <c r="H48" s="161" t="inlineStr">
        <is>
          <t>העברה מאת: וולמיר רות ואלכס 20-441-000075228 עבור דירה 7</t>
        </is>
      </c>
      <c r="I48" s="162" t="n"/>
    </row>
    <row r="49" customFormat="1" s="4">
      <c r="A49" s="160" t="n">
        <v>46298</v>
      </c>
      <c r="B49" s="160" t="n">
        <v>46298</v>
      </c>
      <c r="C49" s="161" t="inlineStr">
        <is>
          <t>הוראת קבע</t>
        </is>
      </c>
      <c r="D49" s="162" t="n">
        <v>4512636</v>
      </c>
      <c r="E49" s="162" t="n">
        <v>0</v>
      </c>
      <c r="F49" s="162" t="n">
        <v>350</v>
      </c>
      <c r="G49" s="163" t="n">
        <v>29094.59</v>
      </c>
      <c r="H49" s="161" t="inlineStr">
        <is>
          <t>העברה מאת: קוטיגרו מיכאל 10-948-057374636 תשלום</t>
        </is>
      </c>
      <c r="I49" s="162" t="n"/>
    </row>
    <row r="50" customFormat="1" s="17">
      <c r="A50" s="155" t="n">
        <v>46298</v>
      </c>
      <c r="B50" s="155" t="n">
        <v>46298</v>
      </c>
      <c r="C50" s="156" t="inlineStr">
        <is>
          <t>הוראת קבע</t>
        </is>
      </c>
      <c r="D50" s="157" t="n">
        <v>4801703</v>
      </c>
      <c r="E50" s="157" t="n">
        <v>780.11</v>
      </c>
      <c r="F50" s="157" t="n">
        <v>0</v>
      </c>
      <c r="G50" s="158" t="n">
        <v>28314.48</v>
      </c>
      <c r="H50" s="156" t="inlineStr">
        <is>
          <t>העברה ל: ארדן 12-391-00410504 תאריך סיום: 10.03.2026 ארדן האגמית 7 טירת כרמל</t>
        </is>
      </c>
      <c r="I50" s="157" t="n"/>
    </row>
    <row r="51" customFormat="1" s="4">
      <c r="A51" s="160" t="n">
        <v>46298</v>
      </c>
      <c r="B51" s="160" t="n">
        <v>46298</v>
      </c>
      <c r="C51" s="161" t="inlineStr">
        <is>
          <t>הוראת קבע</t>
        </is>
      </c>
      <c r="D51" s="162" t="n">
        <v>4875354</v>
      </c>
      <c r="E51" s="162" t="n">
        <v>0</v>
      </c>
      <c r="F51" s="162" t="n">
        <v>350</v>
      </c>
      <c r="G51" s="163" t="n">
        <v>28664.48</v>
      </c>
      <c r="H51" s="161" t="inlineStr">
        <is>
          <t>העברה מאת: בר ברקת ישראלי, 10-716-002056289 ועד בית דירה 5</t>
        </is>
      </c>
      <c r="I51" s="162" t="n"/>
    </row>
    <row r="52" customFormat="1" s="4">
      <c r="A52" s="160" t="n">
        <v>46298</v>
      </c>
      <c r="B52" s="160" t="n">
        <v>46298</v>
      </c>
      <c r="C52" s="161" t="inlineStr">
        <is>
          <t>הוראת קבע</t>
        </is>
      </c>
      <c r="D52" s="162" t="n">
        <v>4883868</v>
      </c>
      <c r="E52" s="162" t="n">
        <v>0</v>
      </c>
      <c r="F52" s="162" t="n">
        <v>350</v>
      </c>
      <c r="G52" s="163" t="n">
        <v>29014.48</v>
      </c>
      <c r="H52" s="161" t="inlineStr">
        <is>
          <t>העברה מאת: לאוניד שכטמן 10-705-012376080 ועד בית</t>
        </is>
      </c>
      <c r="I52" s="162" t="n"/>
    </row>
    <row r="53" customFormat="1" s="4">
      <c r="A53" s="160" t="n">
        <v>46298</v>
      </c>
      <c r="B53" s="160" t="n">
        <v>46298</v>
      </c>
      <c r="C53" s="161" t="inlineStr">
        <is>
          <t>העברה דיגיטל</t>
        </is>
      </c>
      <c r="D53" s="162" t="n">
        <v>148252</v>
      </c>
      <c r="E53" s="162" t="n">
        <v>0</v>
      </c>
      <c r="F53" s="162" t="n">
        <v>640</v>
      </c>
      <c r="G53" s="163" t="n">
        <v>29654.48</v>
      </c>
      <c r="H53" s="161" t="inlineStr">
        <is>
          <t>העברה מאת: סוזאנה שושנה 10-885-010687480 דירה 22 דמי ועד פבר ומרץ</t>
        </is>
      </c>
      <c r="I53" s="162" t="n"/>
    </row>
    <row r="54" customFormat="1" s="4">
      <c r="A54" s="160" t="n">
        <v>46298</v>
      </c>
      <c r="B54" s="160" t="n">
        <v>46298</v>
      </c>
      <c r="C54" s="161" t="inlineStr">
        <is>
          <t>העברה דיגיטל</t>
        </is>
      </c>
      <c r="D54" s="162" t="n">
        <v>194707</v>
      </c>
      <c r="E54" s="162" t="n">
        <v>0</v>
      </c>
      <c r="F54" s="162" t="n">
        <v>60</v>
      </c>
      <c r="G54" s="163" t="n">
        <v>29714.48</v>
      </c>
      <c r="H54" s="161" t="inlineStr">
        <is>
          <t>העברה מאת: סוזאנה שושנה 10-885-010687480 וועד פבר ומרץ 2026 דירה 22</t>
        </is>
      </c>
      <c r="I54" s="162" t="n"/>
    </row>
    <row r="55" customFormat="1" s="4">
      <c r="A55" s="2" t="n">
        <v>46329</v>
      </c>
      <c r="B55" s="2" t="n">
        <v>46329</v>
      </c>
      <c r="C55" s="4" t="inlineStr">
        <is>
          <t>הוראת קבע</t>
        </is>
      </c>
      <c r="D55" s="4" t="n">
        <v>4974656</v>
      </c>
      <c r="E55" s="4" t="n">
        <v>0</v>
      </c>
      <c r="F55" s="4" t="n">
        <v>350</v>
      </c>
      <c r="G55" s="3" t="n">
        <v>30064.48</v>
      </c>
      <c r="H55" s="4" t="inlineStr">
        <is>
          <t>העברה מאת: מיכאל זבוליוב, א 10-885-002348011 ועד בית</t>
        </is>
      </c>
    </row>
    <row r="56" customFormat="1" s="17">
      <c r="A56" s="18" t="n">
        <v>46329</v>
      </c>
      <c r="B56" s="18" t="n">
        <v>46329</v>
      </c>
      <c r="C56" s="17" t="inlineStr">
        <is>
          <t>העברה דיגיטל</t>
        </is>
      </c>
      <c r="D56" s="17" t="n">
        <v>8499</v>
      </c>
      <c r="E56" s="19" t="n">
        <v>6500</v>
      </c>
      <c r="F56" s="17" t="n">
        <v>0</v>
      </c>
      <c r="G56" s="19" t="n">
        <v>23564.48</v>
      </c>
      <c r="H56" s="17" t="inlineStr">
        <is>
          <t>העברה אל: נדלר חיים שיפוצי 12-701-000688886 חדר מדרגות האגמית 7</t>
        </is>
      </c>
    </row>
    <row r="57" customFormat="1" s="154">
      <c r="A57" s="152" t="n">
        <v>46359</v>
      </c>
      <c r="B57" s="152" t="n">
        <v>46359</v>
      </c>
      <c r="C57" s="154" t="inlineStr">
        <is>
          <t>הפקדת שיק</t>
        </is>
      </c>
      <c r="D57" s="154" t="n">
        <v>65815</v>
      </c>
      <c r="E57" s="154" t="n">
        <v>0</v>
      </c>
      <c r="F57" s="154" t="n">
        <v>500</v>
      </c>
      <c r="G57" s="153" t="n">
        <v>24064.48</v>
      </c>
    </row>
    <row r="58" customFormat="1" s="4">
      <c r="A58" s="2" t="n">
        <v>46359</v>
      </c>
      <c r="B58" s="2" t="n">
        <v>46359</v>
      </c>
      <c r="C58" s="4" t="inlineStr">
        <is>
          <t>בנק דיסקונט</t>
        </is>
      </c>
      <c r="D58" s="4" t="n">
        <v>99011</v>
      </c>
      <c r="E58" s="4" t="n">
        <v>0</v>
      </c>
      <c r="F58" s="4" t="n">
        <v>350</v>
      </c>
      <c r="G58" s="3" t="n">
        <v>24414.48</v>
      </c>
      <c r="H58" s="4" t="inlineStr">
        <is>
          <t>העברה מאת: פרחי נדב,פרחי שי 11-107-003913440</t>
        </is>
      </c>
    </row>
    <row r="59" customFormat="1" s="4">
      <c r="A59" s="4" t="inlineStr">
        <is>
          <t>13/03/2026</t>
        </is>
      </c>
      <c r="B59" s="4" t="inlineStr">
        <is>
          <t>13/03/2026</t>
        </is>
      </c>
      <c r="C59" s="4" t="inlineStr">
        <is>
          <t>העברה דיגיטל</t>
        </is>
      </c>
      <c r="D59" s="4" t="n">
        <v>68751</v>
      </c>
      <c r="E59" s="4" t="n">
        <v>0</v>
      </c>
      <c r="F59" s="4" t="n">
        <v>350</v>
      </c>
      <c r="G59" s="3" t="n">
        <v>24764.48</v>
      </c>
      <c r="H59" s="4" t="inlineStr">
        <is>
          <t>העברה מאת: אליאס סמעאן 10-877-003268585 תשלום</t>
        </is>
      </c>
    </row>
    <row r="60" customFormat="1" s="4">
      <c r="A60" s="4" t="inlineStr">
        <is>
          <t>15/03/2026</t>
        </is>
      </c>
      <c r="B60" s="4" t="inlineStr">
        <is>
          <t>15/03/2026</t>
        </is>
      </c>
      <c r="C60" s="4" t="inlineStr">
        <is>
          <t>מבנק יהב ס.-י</t>
        </is>
      </c>
      <c r="D60" s="4" t="n">
        <v>99004</v>
      </c>
      <c r="E60" s="4" t="n">
        <v>0</v>
      </c>
      <c r="F60" s="4" t="n">
        <v>350</v>
      </c>
      <c r="G60" s="3" t="n">
        <v>25114.48</v>
      </c>
      <c r="H60" s="4" t="inlineStr">
        <is>
          <t>העברה מאת: יונה חמד 04-140-000473912</t>
        </is>
      </c>
    </row>
    <row r="61" customFormat="1" s="154">
      <c r="A61" s="154" t="inlineStr">
        <is>
          <t>15/03/2026</t>
        </is>
      </c>
      <c r="B61" s="154" t="inlineStr">
        <is>
          <t>15/03/2026</t>
        </is>
      </c>
      <c r="C61" s="154" t="inlineStr">
        <is>
          <t>בנק הפועלים</t>
        </is>
      </c>
      <c r="D61" s="154" t="n">
        <v>99012</v>
      </c>
      <c r="E61" s="154" t="n">
        <v>0</v>
      </c>
      <c r="F61" s="154" t="n">
        <v>250</v>
      </c>
      <c r="G61" s="153" t="n">
        <v>25364.48</v>
      </c>
      <c r="H61" s="154" t="inlineStr">
        <is>
          <t>העברה מאת: אלייב שלמה -שלומ 12-703-000624018 קופה קטנה תשלום ראשון מתוך 500 שח</t>
        </is>
      </c>
    </row>
    <row r="62" customFormat="1" s="4">
      <c r="A62" s="4" t="inlineStr">
        <is>
          <t>15/03/2026</t>
        </is>
      </c>
      <c r="B62" s="4" t="inlineStr">
        <is>
          <t>15/03/2026</t>
        </is>
      </c>
      <c r="C62" s="4" t="inlineStr">
        <is>
          <t>בנק הפועלים</t>
        </is>
      </c>
      <c r="D62" s="4" t="n">
        <v>99012</v>
      </c>
      <c r="E62" s="4" t="n">
        <v>0</v>
      </c>
      <c r="F62" s="4" t="n">
        <v>350</v>
      </c>
      <c r="G62" s="3" t="n">
        <v>25714.48</v>
      </c>
      <c r="H62" s="4" t="inlineStr">
        <is>
          <t>העברה מאת: ממן אושרי 12-703-000364148 תשלום ועד משפחת ממן</t>
        </is>
      </c>
    </row>
    <row r="63" customFormat="1" s="4">
      <c r="A63" s="4" t="inlineStr">
        <is>
          <t>15/03/2026</t>
        </is>
      </c>
      <c r="B63" s="4" t="inlineStr">
        <is>
          <t>15/03/2026</t>
        </is>
      </c>
      <c r="C63" s="4" t="inlineStr">
        <is>
          <t>בנק הפועלים</t>
        </is>
      </c>
      <c r="D63" s="4" t="n">
        <v>99012</v>
      </c>
      <c r="E63" s="4" t="n">
        <v>0</v>
      </c>
      <c r="F63" s="4" t="n">
        <v>350</v>
      </c>
      <c r="G63" s="3" t="n">
        <v>26064.48</v>
      </c>
      <c r="H63" s="4" t="inlineStr">
        <is>
          <t>העברה מאת: אלייב שלמה -שלומ 12-703-000624018 ועד בית מרץ 2026</t>
        </is>
      </c>
    </row>
    <row r="64" customFormat="1" s="4">
      <c r="A64" s="4" t="inlineStr">
        <is>
          <t>15/03/2026</t>
        </is>
      </c>
      <c r="B64" s="4" t="inlineStr">
        <is>
          <t>15/03/2026</t>
        </is>
      </c>
      <c r="C64" s="4" t="inlineStr">
        <is>
          <t>בנק אוצר החיל</t>
        </is>
      </c>
      <c r="D64" s="4" t="n">
        <v>99014</v>
      </c>
      <c r="E64" s="4" t="n">
        <v>0</v>
      </c>
      <c r="F64" s="4" t="n">
        <v>350</v>
      </c>
      <c r="G64" s="3" t="n">
        <v>26414.48</v>
      </c>
      <c r="H64" s="4" t="inlineStr">
        <is>
          <t>העברה מאת: מקייס סאספורתס ק 14-362-105318123 וועד (הערת לקוח)</t>
        </is>
      </c>
    </row>
    <row r="65" customFormat="1" s="4">
      <c r="A65" s="4" t="inlineStr">
        <is>
          <t>15/03/2026</t>
        </is>
      </c>
      <c r="B65" s="4" t="inlineStr">
        <is>
          <t>15/03/2026</t>
        </is>
      </c>
      <c r="C65" s="4" t="inlineStr">
        <is>
          <t>בנק מזרחי</t>
        </is>
      </c>
      <c r="D65" s="4" t="n">
        <v>99020</v>
      </c>
      <c r="E65" s="4" t="n">
        <v>0</v>
      </c>
      <c r="F65" s="4" t="n">
        <v>350</v>
      </c>
      <c r="G65" s="3" t="n">
        <v>26764.48</v>
      </c>
      <c r="H65" s="4" t="inlineStr">
        <is>
          <t>העברה מאת: רובקין מרגריטה ו 20-444-000494106</t>
        </is>
      </c>
    </row>
    <row r="66" customFormat="1" s="4">
      <c r="A66" s="4" t="inlineStr">
        <is>
          <t>15/03/2026</t>
        </is>
      </c>
      <c r="B66" s="4" t="inlineStr">
        <is>
          <t>15/03/2026</t>
        </is>
      </c>
      <c r="C66" s="4" t="inlineStr">
        <is>
          <t>בנק מזרחי</t>
        </is>
      </c>
      <c r="D66" s="4" t="n">
        <v>99020</v>
      </c>
      <c r="E66" s="4" t="n">
        <v>0</v>
      </c>
      <c r="F66" s="4" t="n">
        <v>350</v>
      </c>
      <c r="G66" s="3" t="n">
        <v>27114.48</v>
      </c>
      <c r="H66" s="4" t="inlineStr">
        <is>
          <t>העברה מאת: בכר שי 20-523-000260701</t>
        </is>
      </c>
    </row>
    <row r="67" customFormat="1" s="4">
      <c r="A67" s="4" t="inlineStr">
        <is>
          <t>15/03/2026</t>
        </is>
      </c>
      <c r="B67" s="4" t="inlineStr">
        <is>
          <t>15/03/2026</t>
        </is>
      </c>
      <c r="C67" s="4" t="inlineStr">
        <is>
          <t>מהבינלאומי ס-י</t>
        </is>
      </c>
      <c r="D67" s="4" t="n">
        <v>99031</v>
      </c>
      <c r="E67" s="4" t="n">
        <v>0</v>
      </c>
      <c r="F67" s="4" t="n">
        <v>350</v>
      </c>
      <c r="G67" s="3" t="n">
        <v>27464.48</v>
      </c>
      <c r="H67" s="4" t="inlineStr">
        <is>
          <t>העברה מאת: לב משה ו/או מרקו 31-007-105009100 דירה 24 מש לב (הערת לקוח)</t>
        </is>
      </c>
    </row>
    <row r="68" customFormat="1" s="154">
      <c r="A68" s="154" t="inlineStr">
        <is>
          <t>15/03/2026</t>
        </is>
      </c>
      <c r="B68" s="154" t="inlineStr">
        <is>
          <t>15/03/2026</t>
        </is>
      </c>
      <c r="C68" s="154" t="inlineStr">
        <is>
          <t>מהבינלאומי ס-י</t>
        </is>
      </c>
      <c r="D68" s="154" t="n">
        <v>99031</v>
      </c>
      <c r="E68" s="154" t="n">
        <v>0</v>
      </c>
      <c r="F68" s="154" t="n">
        <v>500</v>
      </c>
      <c r="G68" s="153" t="n">
        <v>27964.48</v>
      </c>
      <c r="H68" s="154" t="inlineStr">
        <is>
          <t>העברה מאת: לב משה ו/או מרקו 31-007-105009100 העברת אינטרנט (הערת לקוח)</t>
        </is>
      </c>
    </row>
    <row r="69" customFormat="1" s="4">
      <c r="A69" s="4" t="inlineStr">
        <is>
          <t>15/03/2026</t>
        </is>
      </c>
      <c r="B69" s="4" t="inlineStr">
        <is>
          <t>15/03/2026</t>
        </is>
      </c>
      <c r="C69" s="4" t="inlineStr">
        <is>
          <t>הוראת קבע</t>
        </is>
      </c>
      <c r="D69" s="4" t="n">
        <v>4795693</v>
      </c>
      <c r="E69" s="4" t="n">
        <v>0</v>
      </c>
      <c r="F69" s="4" t="n">
        <v>350</v>
      </c>
      <c r="G69" s="3" t="n">
        <v>28314.48</v>
      </c>
      <c r="H69" s="4" t="inlineStr">
        <is>
          <t>העברה מאת: חן לוי, נתנאל לו 10-885-002439793 שכר דירה</t>
        </is>
      </c>
    </row>
    <row r="70" customFormat="1" s="4">
      <c r="A70" s="4" t="inlineStr">
        <is>
          <t>15/03/2026</t>
        </is>
      </c>
      <c r="B70" s="4" t="inlineStr">
        <is>
          <t>15/03/2026</t>
        </is>
      </c>
      <c r="C70" s="4" t="inlineStr">
        <is>
          <t>הוראת קבע</t>
        </is>
      </c>
      <c r="D70" s="4" t="n">
        <v>4865441</v>
      </c>
      <c r="E70" s="4" t="n">
        <v>0</v>
      </c>
      <c r="F70" s="4" t="n">
        <v>350</v>
      </c>
      <c r="G70" s="3" t="n">
        <v>28664.48</v>
      </c>
      <c r="H70" s="4" t="inlineStr">
        <is>
          <t>העברה מאת: רביבו מאור 10-885-001567984 ועד בית דירה 6</t>
        </is>
      </c>
    </row>
    <row r="71" customFormat="1" s="4">
      <c r="A71" s="4" t="inlineStr">
        <is>
          <t>15/03/2026</t>
        </is>
      </c>
      <c r="B71" s="4" t="inlineStr">
        <is>
          <t>15/03/2026</t>
        </is>
      </c>
      <c r="C71" s="4" t="inlineStr">
        <is>
          <t>הוראת קבע</t>
        </is>
      </c>
      <c r="D71" s="4" t="n">
        <v>4865951</v>
      </c>
      <c r="E71" s="4" t="n">
        <v>0</v>
      </c>
      <c r="F71" s="4" t="n">
        <v>350</v>
      </c>
      <c r="G71" s="3" t="n">
        <v>29014.48</v>
      </c>
      <c r="H71" s="4" t="inlineStr">
        <is>
          <t>העברה מאת: טטיאנה סיגל, אלי 10-882-020472034 תשלום</t>
        </is>
      </c>
    </row>
    <row r="72" customFormat="1" s="4">
      <c r="A72" s="4" t="inlineStr">
        <is>
          <t>15/03/2026</t>
        </is>
      </c>
      <c r="B72" s="4" t="inlineStr">
        <is>
          <t>15/03/2026</t>
        </is>
      </c>
      <c r="C72" s="4" t="inlineStr">
        <is>
          <t>הוראת קבע</t>
        </is>
      </c>
      <c r="D72" s="4" t="n">
        <v>4870920</v>
      </c>
      <c r="E72" s="4" t="n">
        <v>0</v>
      </c>
      <c r="F72" s="4" t="n">
        <v>350</v>
      </c>
      <c r="G72" s="3" t="n">
        <v>29364.48</v>
      </c>
      <c r="H72" s="4" t="inlineStr">
        <is>
          <t>העברה מאת: גלמן אירינה 10-877-002493094 ועד בית</t>
        </is>
      </c>
    </row>
    <row r="73" customFormat="1" s="4">
      <c r="A73" s="4" t="inlineStr">
        <is>
          <t>15/03/2026</t>
        </is>
      </c>
      <c r="B73" s="4" t="inlineStr">
        <is>
          <t>15/03/2026</t>
        </is>
      </c>
      <c r="C73" s="4" t="inlineStr">
        <is>
          <t>הוראת קבע</t>
        </is>
      </c>
      <c r="D73" s="4" t="n">
        <v>4882283</v>
      </c>
      <c r="E73" s="4" t="n">
        <v>0</v>
      </c>
      <c r="F73" s="4" t="n">
        <v>350</v>
      </c>
      <c r="G73" s="3" t="n">
        <v>29714.48</v>
      </c>
      <c r="H73" s="4" t="inlineStr">
        <is>
          <t>העברה מאת: קטרין קוט 10-891-004022651 ועד דירה 51 אריסון</t>
        </is>
      </c>
    </row>
    <row r="74" customFormat="1" s="4">
      <c r="A74" s="4" t="inlineStr">
        <is>
          <t>18/03/2026</t>
        </is>
      </c>
      <c r="B74" s="4" t="inlineStr">
        <is>
          <t>18/03/2026</t>
        </is>
      </c>
      <c r="C74" s="4" t="inlineStr">
        <is>
          <t>הפקדת שיק</t>
        </is>
      </c>
      <c r="D74" s="4" t="n">
        <v>16216</v>
      </c>
      <c r="E74" s="4" t="n">
        <v>0</v>
      </c>
      <c r="F74" s="4" t="n">
        <v>350</v>
      </c>
      <c r="G74" s="3" t="n">
        <v>30064.48</v>
      </c>
    </row>
    <row r="75" customFormat="1" s="4">
      <c r="A75" s="4" t="inlineStr">
        <is>
          <t>18/03/2026</t>
        </is>
      </c>
      <c r="B75" s="4" t="inlineStr">
        <is>
          <t>18/03/2026</t>
        </is>
      </c>
      <c r="C75" s="4" t="inlineStr">
        <is>
          <t>בנק הפועלים</t>
        </is>
      </c>
      <c r="D75" s="4" t="n">
        <v>99012</v>
      </c>
      <c r="E75" s="4" t="n">
        <v>0</v>
      </c>
      <c r="F75" s="4" t="n">
        <v>350</v>
      </c>
      <c r="G75" s="3" t="n">
        <v>30414.48</v>
      </c>
      <c r="H75" s="4" t="inlineStr">
        <is>
          <t>העברה מאת: סיגלוב דמיטרי או 12-703-000021291 ועד דירה 34 סיגלוב</t>
        </is>
      </c>
    </row>
    <row r="76" customFormat="1" s="17">
      <c r="A76" s="17" t="inlineStr">
        <is>
          <t>22/03/2026</t>
        </is>
      </c>
      <c r="B76" s="17" t="inlineStr">
        <is>
          <t>22/03/2026</t>
        </is>
      </c>
      <c r="C76" s="17" t="inlineStr">
        <is>
          <t>חברת החשמל ל-י</t>
        </is>
      </c>
      <c r="D76" s="17" t="n">
        <v>706</v>
      </c>
      <c r="E76" s="19" t="n">
        <v>3233.77</v>
      </c>
      <c r="F76" s="17" t="n">
        <v>0</v>
      </c>
      <c r="G76" s="19" t="n">
        <v>27180.71</v>
      </c>
    </row>
    <row r="77" customFormat="1" s="4">
      <c r="A77" s="4" t="inlineStr">
        <is>
          <t>22/03/2026</t>
        </is>
      </c>
      <c r="B77" s="4" t="inlineStr">
        <is>
          <t>22/03/2026</t>
        </is>
      </c>
      <c r="C77" s="4" t="inlineStr">
        <is>
          <t>מרכנתיל די.-י</t>
        </is>
      </c>
      <c r="D77" s="4" t="n">
        <v>99017</v>
      </c>
      <c r="E77" s="4" t="n">
        <v>0</v>
      </c>
      <c r="F77" s="4" t="n">
        <v>440</v>
      </c>
      <c r="G77" s="3" t="n">
        <v>27620.71</v>
      </c>
      <c r="H77" s="4" t="inlineStr">
        <is>
          <t>העברה מאת: בן לולו נטלי 17-662-098353502 תשלום לוועד הבית</t>
        </is>
      </c>
    </row>
    <row r="78" customFormat="1" s="4">
      <c r="A78" s="4" t="inlineStr">
        <is>
          <t>23/03/2026</t>
        </is>
      </c>
      <c r="B78" s="4" t="inlineStr">
        <is>
          <t>23/03/2026</t>
        </is>
      </c>
      <c r="C78" s="4" t="inlineStr">
        <is>
          <t>העברה/הפקדה</t>
        </is>
      </c>
      <c r="D78" s="4" t="n">
        <v>18006</v>
      </c>
      <c r="E78" s="4" t="n">
        <v>0</v>
      </c>
      <c r="F78" s="4" t="n">
        <v>700</v>
      </c>
      <c r="G78" s="3" t="n">
        <v>28320.71</v>
      </c>
      <c r="H78" s="4" t="inlineStr">
        <is>
          <t>העברה מאת: מנגסטה יטמין 10-885-001146229</t>
        </is>
      </c>
    </row>
    <row r="79" customFormat="1" s="17">
      <c r="A79" s="17" t="inlineStr">
        <is>
          <t>24/03/2026</t>
        </is>
      </c>
      <c r="B79" s="17" t="inlineStr">
        <is>
          <t>24/03/2026</t>
        </is>
      </c>
      <c r="C79" s="17" t="inlineStr">
        <is>
          <t>חברת פרטנר ת-י</t>
        </is>
      </c>
      <c r="D79" s="17" t="n">
        <v>31274</v>
      </c>
      <c r="E79" s="17" t="n">
        <v>90.77</v>
      </c>
      <c r="F79" s="17" t="n">
        <v>0</v>
      </c>
      <c r="G79" s="19" t="n">
        <v>28229.94</v>
      </c>
    </row>
    <row r="80" customFormat="1" s="4">
      <c r="A80" s="4" t="inlineStr">
        <is>
          <t>25/03/2026</t>
        </is>
      </c>
      <c r="B80" s="4" t="inlineStr">
        <is>
          <t>25/03/2026</t>
        </is>
      </c>
      <c r="C80" s="4" t="inlineStr">
        <is>
          <t>בנק הפועלים</t>
        </is>
      </c>
      <c r="D80" s="4" t="n">
        <v>99012</v>
      </c>
      <c r="E80" s="4" t="n">
        <v>0</v>
      </c>
      <c r="F80" s="4" t="n">
        <v>850</v>
      </c>
      <c r="G80" s="3" t="n">
        <v>29079.94</v>
      </c>
      <c r="H80" s="4" t="inlineStr">
        <is>
          <t>העברה מאת: לגסה סיטוטאו יטא 12-700-000089393 חודש מרץ</t>
        </is>
      </c>
    </row>
    <row r="81" customFormat="1" s="17">
      <c r="A81" s="17" t="inlineStr">
        <is>
          <t>29/03/2026</t>
        </is>
      </c>
      <c r="B81" s="17" t="inlineStr">
        <is>
          <t>29/03/2026</t>
        </is>
      </c>
      <c r="C81" s="17" t="inlineStr">
        <is>
          <t>בזק-הוראות ק-י</t>
        </is>
      </c>
      <c r="D81" s="17" t="n">
        <v>703</v>
      </c>
      <c r="E81" s="17" t="n">
        <v>24.57</v>
      </c>
      <c r="F81" s="17" t="n">
        <v>0</v>
      </c>
      <c r="G81" s="19" t="n">
        <v>29055.37</v>
      </c>
    </row>
    <row r="82" customFormat="1" s="4">
      <c r="A82" s="4" t="inlineStr">
        <is>
          <t>29/03/2026</t>
        </is>
      </c>
      <c r="B82" s="4" t="inlineStr">
        <is>
          <t>29/03/2026</t>
        </is>
      </c>
      <c r="C82" s="4" t="inlineStr">
        <is>
          <t>הוראת קבע</t>
        </is>
      </c>
      <c r="D82" s="4" t="n">
        <v>4837872</v>
      </c>
      <c r="E82" s="4" t="n">
        <v>0</v>
      </c>
      <c r="F82" s="4" t="n">
        <v>350</v>
      </c>
      <c r="G82" s="3" t="n">
        <v>29405.37</v>
      </c>
      <c r="H82" s="4" t="inlineStr">
        <is>
          <t>העברה מאת: תמר ברנר, דן ברנ 10-885-004050720 ועד בית דירה 49</t>
        </is>
      </c>
    </row>
    <row r="83" customFormat="1" s="17">
      <c r="A83" s="17" t="inlineStr">
        <is>
          <t>31/03/2026</t>
        </is>
      </c>
      <c r="B83" s="17" t="inlineStr">
        <is>
          <t>31/03/2026</t>
        </is>
      </c>
      <c r="C83" s="17" t="inlineStr">
        <is>
          <t>קונה בע"מ-י</t>
        </is>
      </c>
      <c r="D83" s="17" t="n">
        <v>1086</v>
      </c>
      <c r="E83" s="19" t="n">
        <v>4549.48</v>
      </c>
      <c r="F83" s="17" t="n">
        <v>0</v>
      </c>
      <c r="G83" s="19" t="n">
        <v>24855.89</v>
      </c>
    </row>
  </sheetData>
  <mergeCells count="20">
    <mergeCell ref="C6:D6"/>
    <mergeCell ref="C5:D5"/>
    <mergeCell ref="E5:F5"/>
    <mergeCell ref="A3:I3"/>
    <mergeCell ref="A12:I12"/>
    <mergeCell ref="E8:F8"/>
    <mergeCell ref="A6:B6"/>
    <mergeCell ref="A2:I2"/>
    <mergeCell ref="A7:B7"/>
    <mergeCell ref="A4:I4"/>
    <mergeCell ref="E6:F6"/>
    <mergeCell ref="A10:I10"/>
    <mergeCell ref="A5:B5"/>
    <mergeCell ref="A9:I9"/>
    <mergeCell ref="A8:B8"/>
    <mergeCell ref="C8:D8"/>
    <mergeCell ref="C7:D7"/>
    <mergeCell ref="A11:I11"/>
    <mergeCell ref="E7:F7"/>
    <mergeCell ref="A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0"/>
  <sheetViews>
    <sheetView rightToLeft="1" topLeftCell="A35" workbookViewId="0">
      <selection activeCell="A51" sqref="A51:XFD51"/>
    </sheetView>
  </sheetViews>
  <sheetFormatPr baseColWidth="8" defaultRowHeight="15"/>
  <cols>
    <col width="9.85546875" bestFit="1" customWidth="1" style="197" min="1" max="2"/>
    <col width="9.5703125" bestFit="1" customWidth="1" style="197" min="7" max="7"/>
  </cols>
  <sheetData>
    <row r="1">
      <c r="A1" s="148" t="inlineStr">
        <is>
          <t>בנק לאומי |</t>
        </is>
      </c>
      <c r="B1" s="148" t="n"/>
      <c r="C1" s="148" t="n"/>
      <c r="D1" s="148" t="n"/>
      <c r="E1" s="148" t="n"/>
      <c r="F1" s="148" t="n"/>
      <c r="G1" s="148" t="n"/>
      <c r="H1" s="148" t="n"/>
    </row>
    <row r="2" ht="15" customHeight="1" s="197">
      <c r="A2" s="148" t="inlineStr">
        <is>
          <t>מס' חשבון : ‏‏ ‎885-37554/82‎</t>
        </is>
      </c>
      <c r="B2" s="148" t="n"/>
      <c r="C2" s="148" t="n"/>
      <c r="D2" s="148" t="n"/>
      <c r="E2" s="148" t="n"/>
      <c r="F2" s="148" t="n"/>
      <c r="G2" s="148" t="n"/>
      <c r="H2" s="148" t="n"/>
    </row>
    <row r="3" ht="15" customHeight="1" s="197">
      <c r="A3" s="148" t="inlineStr">
        <is>
          <t>תאריך שמירה/הדפסה: 22/4/2026</t>
        </is>
      </c>
      <c r="B3" s="148" t="n"/>
      <c r="C3" s="148" t="n"/>
      <c r="D3" s="148" t="n"/>
      <c r="E3" s="148" t="n"/>
      <c r="F3" s="148" t="n"/>
      <c r="G3" s="148" t="n"/>
      <c r="H3" s="148" t="n"/>
    </row>
    <row r="4">
      <c r="A4" s="148" t="n"/>
      <c r="B4" s="148" t="n"/>
      <c r="C4" s="148" t="n"/>
      <c r="D4" s="148" t="n"/>
      <c r="E4" s="148" t="n"/>
      <c r="F4" s="148" t="n"/>
      <c r="G4" s="148" t="n"/>
      <c r="H4" s="148" t="n"/>
    </row>
    <row r="5" ht="15.75" customHeight="1" s="197">
      <c r="A5" s="128" t="inlineStr">
        <is>
          <t>היתרה</t>
        </is>
      </c>
      <c r="B5" s="128" t="n"/>
      <c r="C5" s="128" t="inlineStr">
        <is>
          <t>מסגרת האשראי</t>
        </is>
      </c>
      <c r="D5" s="128" t="n"/>
      <c r="E5" s="128" t="inlineStr">
        <is>
          <t>נכון לתאריך</t>
        </is>
      </c>
      <c r="F5" s="128" t="n"/>
      <c r="G5" s="148" t="n"/>
      <c r="H5" s="148" t="n"/>
    </row>
    <row r="6">
      <c r="A6" s="148" t="n"/>
      <c r="B6" s="148" t="n"/>
      <c r="C6" s="148" t="n"/>
      <c r="D6" s="148" t="n"/>
      <c r="E6" s="148" t="n"/>
      <c r="F6" s="148" t="n"/>
      <c r="G6" s="148" t="n"/>
      <c r="H6" s="148" t="n"/>
    </row>
    <row r="7" ht="15" customHeight="1" s="197">
      <c r="A7" s="129" t="inlineStr">
        <is>
          <t>₪ 31,251.59</t>
        </is>
      </c>
      <c r="B7" s="129" t="n"/>
      <c r="C7" s="129" t="inlineStr">
        <is>
          <t>₪ 0.00</t>
        </is>
      </c>
      <c r="D7" s="129" t="n"/>
      <c r="E7" s="129" t="inlineStr">
        <is>
          <t>22.04.26</t>
        </is>
      </c>
      <c r="F7" s="129" t="n"/>
      <c r="G7" s="148" t="n"/>
      <c r="H7" s="148" t="n"/>
    </row>
    <row r="8" ht="15" customHeight="1" s="197">
      <c r="A8" s="129" t="inlineStr">
        <is>
          <t>* כולל תנועות היום</t>
        </is>
      </c>
      <c r="B8" s="129" t="n"/>
      <c r="C8" s="148" t="n"/>
      <c r="D8" s="148" t="n"/>
      <c r="E8" s="148" t="n"/>
      <c r="F8" s="148" t="n"/>
      <c r="G8" s="148" t="n"/>
      <c r="H8" s="148" t="n"/>
    </row>
    <row r="9">
      <c r="A9" s="130" t="n"/>
      <c r="B9" s="130" t="n"/>
      <c r="C9" s="130" t="n"/>
      <c r="D9" s="130" t="n"/>
      <c r="E9" s="130" t="n"/>
      <c r="F9" s="130" t="n"/>
      <c r="G9" s="130" t="n"/>
      <c r="H9" s="130" t="n"/>
    </row>
    <row r="10">
      <c r="A10" s="130" t="n"/>
      <c r="B10" s="130" t="n"/>
      <c r="C10" s="130" t="n"/>
      <c r="D10" s="130" t="n"/>
      <c r="E10" s="130" t="n"/>
      <c r="F10" s="130" t="n"/>
      <c r="G10" s="130" t="n"/>
      <c r="H10" s="130" t="n"/>
    </row>
    <row r="11" ht="15" customHeight="1" s="197">
      <c r="A11" s="130" t="inlineStr">
        <is>
          <t>* פירוט הפעולות להיום אינו סופי ועשוי להשתנות / לא להתבצע. יתכן שתהיינה פעולות נוספות שלא מופיעות בשלב זה</t>
        </is>
      </c>
      <c r="B11" s="130" t="n"/>
      <c r="C11" s="130" t="n"/>
      <c r="D11" s="130" t="n"/>
      <c r="E11" s="130" t="n"/>
      <c r="F11" s="130" t="n"/>
      <c r="G11" s="130" t="n"/>
      <c r="H11" s="130" t="n"/>
    </row>
    <row r="12" ht="15" customHeight="1" s="197">
      <c r="A12" s="129" t="inlineStr">
        <is>
          <t>תנועות בחשבון</t>
        </is>
      </c>
      <c r="B12" s="129" t="n"/>
      <c r="C12" s="129" t="n"/>
      <c r="D12" s="129" t="n"/>
      <c r="E12" s="129" t="n"/>
      <c r="F12" s="129" t="n"/>
      <c r="G12" s="129" t="n"/>
      <c r="H12" s="129" t="n"/>
    </row>
    <row r="13">
      <c r="A13" s="129" t="inlineStr">
        <is>
          <t>תאריך</t>
        </is>
      </c>
      <c r="B13" s="129" t="inlineStr">
        <is>
          <t>תאריך ערך</t>
        </is>
      </c>
      <c r="C13" s="129" t="inlineStr">
        <is>
          <t>תיאור</t>
        </is>
      </c>
      <c r="D13" s="129" t="inlineStr">
        <is>
          <t>אסמכתא</t>
        </is>
      </c>
      <c r="E13" s="129" t="inlineStr">
        <is>
          <t>בחובה</t>
        </is>
      </c>
      <c r="F13" s="129" t="inlineStr">
        <is>
          <t>בזכות</t>
        </is>
      </c>
      <c r="G13" s="129" t="inlineStr">
        <is>
          <t>היתרה בש"ח</t>
        </is>
      </c>
      <c r="H13" s="129" t="inlineStr">
        <is>
          <t>תאור מורחב</t>
        </is>
      </c>
    </row>
    <row r="14" customFormat="1" s="4">
      <c r="A14" s="2" t="n">
        <v>46026</v>
      </c>
      <c r="B14" s="2" t="n">
        <v>46026</v>
      </c>
      <c r="C14" s="4" t="inlineStr">
        <is>
          <t>הפקדת שיק</t>
        </is>
      </c>
      <c r="D14" s="4" t="n">
        <v>210835</v>
      </c>
      <c r="E14" s="4" t="n">
        <v>0</v>
      </c>
      <c r="F14" s="4" t="n">
        <v>350</v>
      </c>
      <c r="G14" s="3" t="n">
        <v>25205.89</v>
      </c>
    </row>
    <row r="15" customFormat="1" s="4">
      <c r="A15" s="2" t="n">
        <v>46026</v>
      </c>
      <c r="B15" s="2" t="n">
        <v>46026</v>
      </c>
      <c r="C15" s="4" t="inlineStr">
        <is>
          <t>בנק הפועלים</t>
        </is>
      </c>
      <c r="D15" s="4" t="n">
        <v>99012</v>
      </c>
      <c r="E15" s="4" t="n">
        <v>0</v>
      </c>
      <c r="F15" s="4" t="n">
        <v>320</v>
      </c>
      <c r="G15" s="3" t="n">
        <v>25525.89</v>
      </c>
      <c r="H15" s="4" t="inlineStr">
        <is>
          <t>העברה מאת: ברייב יולי 12-701-000404014 ועד בית</t>
        </is>
      </c>
    </row>
    <row r="16" customFormat="1" s="4">
      <c r="A16" s="2" t="n">
        <v>46026</v>
      </c>
      <c r="B16" s="2" t="n">
        <v>46026</v>
      </c>
      <c r="C16" s="4" t="inlineStr">
        <is>
          <t>בנק הפועלים</t>
        </is>
      </c>
      <c r="D16" s="4" t="n">
        <v>99012</v>
      </c>
      <c r="E16" s="4" t="n">
        <v>0</v>
      </c>
      <c r="F16" s="4" t="n">
        <v>350</v>
      </c>
      <c r="G16" s="3" t="n">
        <v>25875.89</v>
      </c>
      <c r="H16" s="4" t="inlineStr">
        <is>
          <t>העברה מאת: רועי ולי-ש 12-700-000616685 ועד בית</t>
        </is>
      </c>
    </row>
    <row r="17" customFormat="1" s="4">
      <c r="A17" s="2" t="n">
        <v>46026</v>
      </c>
      <c r="B17" s="2" t="n">
        <v>46026</v>
      </c>
      <c r="C17" s="4" t="inlineStr">
        <is>
          <t>בנק הפועלים</t>
        </is>
      </c>
      <c r="D17" s="4" t="n">
        <v>99012</v>
      </c>
      <c r="E17" s="4" t="n">
        <v>0</v>
      </c>
      <c r="F17" s="4" t="n">
        <v>350</v>
      </c>
      <c r="G17" s="3" t="n">
        <v>26225.89</v>
      </c>
      <c r="H17" s="4" t="inlineStr">
        <is>
          <t>העברה מאת: מנגיסטו דג 12-703-000091338 לוועד הבית</t>
        </is>
      </c>
    </row>
    <row r="18" customFormat="1" s="4">
      <c r="A18" s="2" t="n">
        <v>46026</v>
      </c>
      <c r="B18" s="2" t="n">
        <v>46026</v>
      </c>
      <c r="C18" s="4" t="inlineStr">
        <is>
          <t>הוראת קבע</t>
        </is>
      </c>
      <c r="D18" s="4" t="n">
        <v>4873628</v>
      </c>
      <c r="E18" s="4" t="n">
        <v>0</v>
      </c>
      <c r="F18" s="4" t="n">
        <v>350</v>
      </c>
      <c r="G18" s="3" t="n">
        <v>26575.89</v>
      </c>
      <c r="H18" s="4" t="inlineStr">
        <is>
          <t>העברה מאת: אליזבט בינשטוק, 10-891-003641132 תשלום בהוראת קבע</t>
        </is>
      </c>
    </row>
    <row r="19">
      <c r="A19" s="149" t="n">
        <v>46026</v>
      </c>
      <c r="B19" s="149" t="n">
        <v>46026</v>
      </c>
      <c r="C19" s="129" t="inlineStr">
        <is>
          <t>מסלול מורחב</t>
        </is>
      </c>
      <c r="D19" s="129" t="n">
        <v>44842</v>
      </c>
      <c r="E19" s="129" t="n">
        <v>25</v>
      </c>
      <c r="F19" s="129" t="n">
        <v>0</v>
      </c>
      <c r="G19" s="147" t="n">
        <v>26550.89</v>
      </c>
      <c r="H19" s="148" t="n"/>
    </row>
    <row r="20">
      <c r="A20" s="149" t="n">
        <v>46026</v>
      </c>
      <c r="B20" s="149" t="n">
        <v>46026</v>
      </c>
      <c r="C20" s="129" t="inlineStr">
        <is>
          <t>עמל.ערוץ יש 16</t>
        </is>
      </c>
      <c r="D20" s="129" t="n">
        <v>16</v>
      </c>
      <c r="E20" s="129" t="n">
        <v>26.4</v>
      </c>
      <c r="F20" s="129" t="n">
        <v>0</v>
      </c>
      <c r="G20" s="147" t="n">
        <v>26524.49</v>
      </c>
      <c r="H20" s="129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</row>
    <row r="21">
      <c r="A21" s="149" t="n">
        <v>46085</v>
      </c>
      <c r="B21" s="149" t="n">
        <v>46085</v>
      </c>
      <c r="C21" s="129" t="inlineStr">
        <is>
          <t>נובולה בע"מ-י</t>
        </is>
      </c>
      <c r="D21" s="129" t="n">
        <v>42663</v>
      </c>
      <c r="E21" s="129" t="n">
        <v>77</v>
      </c>
      <c r="F21" s="129" t="n">
        <v>0</v>
      </c>
      <c r="G21" s="147" t="n">
        <v>26447.49</v>
      </c>
      <c r="H21" s="148" t="n"/>
    </row>
    <row r="22" customFormat="1" s="4">
      <c r="A22" s="2" t="n">
        <v>46085</v>
      </c>
      <c r="B22" s="2" t="n">
        <v>46085</v>
      </c>
      <c r="C22" s="4" t="inlineStr">
        <is>
          <t>הוראת קבע</t>
        </is>
      </c>
      <c r="D22" s="4" t="n">
        <v>4668970</v>
      </c>
      <c r="E22" s="4" t="n">
        <v>0</v>
      </c>
      <c r="F22" s="4" t="n">
        <v>350</v>
      </c>
      <c r="G22" s="3" t="n">
        <v>26797.49</v>
      </c>
      <c r="H22" s="4" t="inlineStr">
        <is>
          <t>העברה מאת: פריידמן נטליה 10-882-044876260 תשלום</t>
        </is>
      </c>
    </row>
    <row r="23" customFormat="1" s="4">
      <c r="A23" s="2" t="n">
        <v>46085</v>
      </c>
      <c r="B23" s="2" t="n">
        <v>46085</v>
      </c>
      <c r="C23" s="4" t="inlineStr">
        <is>
          <t>הוראת קבע</t>
        </is>
      </c>
      <c r="D23" s="4" t="n">
        <v>4878373</v>
      </c>
      <c r="E23" s="4" t="n">
        <v>0</v>
      </c>
      <c r="F23" s="4" t="n">
        <v>350</v>
      </c>
      <c r="G23" s="3" t="n">
        <v>27147.49</v>
      </c>
      <c r="H23" s="4" t="inlineStr">
        <is>
          <t>העברה מאת: גל ברזני, שני ול 10-635-001111123 וועד בית דירה 56</t>
        </is>
      </c>
    </row>
    <row r="24" customFormat="1" s="4">
      <c r="A24" s="2" t="n">
        <v>46146</v>
      </c>
      <c r="B24" s="2" t="n">
        <v>46146</v>
      </c>
      <c r="C24" s="4" t="inlineStr">
        <is>
          <t>בנק דיסקונט</t>
        </is>
      </c>
      <c r="D24" s="4" t="n">
        <v>99011</v>
      </c>
      <c r="E24" s="4" t="n">
        <v>0</v>
      </c>
      <c r="F24" s="4" t="n">
        <v>320</v>
      </c>
      <c r="G24" s="3" t="n">
        <v>27467.49</v>
      </c>
      <c r="H24" s="4" t="inlineStr">
        <is>
          <t>העברה מאת: אסרף אורטל 11-107-081754738</t>
        </is>
      </c>
    </row>
    <row r="25" customFormat="1" s="4">
      <c r="A25" s="2" t="n">
        <v>46146</v>
      </c>
      <c r="B25" s="2" t="n">
        <v>46146</v>
      </c>
      <c r="C25" s="4" t="inlineStr">
        <is>
          <t>בנק אוצר החיל</t>
        </is>
      </c>
      <c r="D25" s="4" t="n">
        <v>99014</v>
      </c>
      <c r="E25" s="4" t="n">
        <v>0</v>
      </c>
      <c r="F25" s="4" t="n">
        <v>350</v>
      </c>
      <c r="G25" s="3" t="n">
        <v>27817.49</v>
      </c>
      <c r="H25" s="4" t="inlineStr">
        <is>
          <t>העברה מאת: כחלון שלו ו/או ח 14-350-105236062 וועד בית דירה 25 (הערת לקוח)</t>
        </is>
      </c>
    </row>
    <row r="26" customFormat="1" s="4">
      <c r="A26" s="2" t="n">
        <v>46146</v>
      </c>
      <c r="B26" s="2" t="n">
        <v>46146</v>
      </c>
      <c r="C26" s="4" t="inlineStr">
        <is>
          <t>הוראת קבע</t>
        </is>
      </c>
      <c r="D26" s="4" t="n">
        <v>4789577</v>
      </c>
      <c r="E26" s="4" t="n">
        <v>0</v>
      </c>
      <c r="F26" s="4" t="n">
        <v>350</v>
      </c>
      <c r="G26" s="3" t="n">
        <v>28167.49</v>
      </c>
      <c r="H26" s="4" t="inlineStr">
        <is>
          <t>העברה מאת: קטרינה שליאק 10-838-002943311 דירה 43 משפחת שליאק</t>
        </is>
      </c>
    </row>
    <row r="27" customFormat="1" s="4">
      <c r="A27" s="2" t="n">
        <v>46177</v>
      </c>
      <c r="B27" s="2" t="n">
        <v>46177</v>
      </c>
      <c r="C27" s="4" t="inlineStr">
        <is>
          <t>הוראת קבע</t>
        </is>
      </c>
      <c r="D27" s="4" t="n">
        <v>4870113</v>
      </c>
      <c r="E27" s="4" t="n">
        <v>0</v>
      </c>
      <c r="F27" s="4" t="n">
        <v>350</v>
      </c>
      <c r="G27" s="3" t="n">
        <v>28517.49</v>
      </c>
      <c r="H27" s="4" t="inlineStr">
        <is>
          <t>העברה מאת: היבה ריזק 10-840-002040614 ועד בית דירה 32 קומה 7</t>
        </is>
      </c>
    </row>
    <row r="28" customFormat="1" s="4">
      <c r="A28" s="2" t="n">
        <v>46207</v>
      </c>
      <c r="B28" s="2" t="n">
        <v>46207</v>
      </c>
      <c r="C28" s="4" t="inlineStr">
        <is>
          <t>בנק הפועלים</t>
        </is>
      </c>
      <c r="D28" s="4" t="n">
        <v>99012</v>
      </c>
      <c r="E28" s="4" t="n">
        <v>0</v>
      </c>
      <c r="F28" s="4" t="n">
        <v>350</v>
      </c>
      <c r="G28" s="3" t="n">
        <v>28867.49</v>
      </c>
      <c r="H28" s="4" t="inlineStr">
        <is>
          <t>העברה מאת: זאדה הודיה 12-703-000404555 תשלום חודשי משפחת זאדה</t>
        </is>
      </c>
    </row>
    <row r="29" customFormat="1" s="4">
      <c r="A29" s="2" t="n">
        <v>46269</v>
      </c>
      <c r="B29" s="2" t="n">
        <v>46269</v>
      </c>
      <c r="C29" s="4" t="inlineStr">
        <is>
          <t>הוראת קבע</t>
        </is>
      </c>
      <c r="D29" s="4" t="n">
        <v>4763312</v>
      </c>
      <c r="E29" s="4" t="n">
        <v>0</v>
      </c>
      <c r="F29" s="4" t="n">
        <v>350</v>
      </c>
      <c r="G29" s="3" t="n">
        <v>29217.49</v>
      </c>
      <c r="H29" s="4" t="inlineStr">
        <is>
          <t>העברה מאת: יוספה אמור, בנימ 10-885-000271821 תשלום בהוראת קבע</t>
        </is>
      </c>
    </row>
    <row r="30" customFormat="1" s="4">
      <c r="A30" s="2" t="n">
        <v>46269</v>
      </c>
      <c r="B30" s="2" t="n">
        <v>46269</v>
      </c>
      <c r="C30" s="4" t="inlineStr">
        <is>
          <t>הוראת קבע</t>
        </is>
      </c>
      <c r="D30" s="4" t="n">
        <v>4899758</v>
      </c>
      <c r="E30" s="4" t="n">
        <v>0</v>
      </c>
      <c r="F30" s="4" t="n">
        <v>350</v>
      </c>
      <c r="G30" s="3" t="n">
        <v>29567.49</v>
      </c>
      <c r="H30" s="4" t="inlineStr">
        <is>
          <t>העברה מאת: וולושין אלכסנדר 10-879-057984481 ועד בית</t>
        </is>
      </c>
    </row>
    <row r="31">
      <c r="A31" s="149" t="n">
        <v>46269</v>
      </c>
      <c r="B31" s="149" t="n">
        <v>46269</v>
      </c>
      <c r="C31" s="129" t="inlineStr">
        <is>
          <t>הוראת קבע</t>
        </is>
      </c>
      <c r="D31" s="129" t="n">
        <v>4932477</v>
      </c>
      <c r="E31" s="147" t="n">
        <v>7500</v>
      </c>
      <c r="F31" s="129" t="n">
        <v>0</v>
      </c>
      <c r="G31" s="147" t="n">
        <v>22067.49</v>
      </c>
      <c r="H31" s="129" t="inlineStr">
        <is>
          <t>העברה ל: גל אנתבי 20-505-00159972 תאריך סיום: 09.12.2027 ניקיון האגמית 7</t>
        </is>
      </c>
    </row>
    <row r="32">
      <c r="A32" s="149" t="n">
        <v>46299</v>
      </c>
      <c r="B32" s="149" t="n">
        <v>46299</v>
      </c>
      <c r="C32" s="129" t="inlineStr">
        <is>
          <t>ש.שלמה חברה-י</t>
        </is>
      </c>
      <c r="D32" s="129" t="n">
        <v>44855</v>
      </c>
      <c r="E32" s="129" t="n">
        <v>981</v>
      </c>
      <c r="F32" s="129" t="n">
        <v>0</v>
      </c>
      <c r="G32" s="147" t="n">
        <v>21086.49</v>
      </c>
      <c r="H32" s="148" t="n"/>
    </row>
    <row r="33" customFormat="1" s="4">
      <c r="A33" s="2" t="n">
        <v>46299</v>
      </c>
      <c r="B33" s="2" t="n">
        <v>46299</v>
      </c>
      <c r="C33" s="4" t="inlineStr">
        <is>
          <t>בנק דיסקונט</t>
        </is>
      </c>
      <c r="D33" s="4" t="n">
        <v>99011</v>
      </c>
      <c r="E33" s="4" t="n">
        <v>0</v>
      </c>
      <c r="F33" s="4" t="n">
        <v>350</v>
      </c>
      <c r="G33" s="3" t="n">
        <v>21436.49</v>
      </c>
      <c r="H33" s="4" t="inlineStr">
        <is>
          <t>העברה מאת: סימקין טרוסטיאני 11-097-132698643 ועד הבית - סימקין דירה 21</t>
        </is>
      </c>
    </row>
    <row r="34" customFormat="1" s="4">
      <c r="A34" s="2" t="n">
        <v>46299</v>
      </c>
      <c r="B34" s="2" t="n">
        <v>46299</v>
      </c>
      <c r="C34" s="4" t="inlineStr">
        <is>
          <t>בנק דיסקונט</t>
        </is>
      </c>
      <c r="D34" s="4" t="n">
        <v>99011</v>
      </c>
      <c r="E34" s="4" t="n">
        <v>0</v>
      </c>
      <c r="F34" s="4" t="n">
        <v>350</v>
      </c>
      <c r="G34" s="3" t="n">
        <v>21786.49</v>
      </c>
      <c r="H34" s="4" t="inlineStr">
        <is>
          <t>העברה מאת: רומנו לינצקי סיו 11-107-075555974</t>
        </is>
      </c>
    </row>
    <row r="35" customFormat="1" s="4">
      <c r="A35" s="2" t="n">
        <v>46299</v>
      </c>
      <c r="B35" s="2" t="n">
        <v>46299</v>
      </c>
      <c r="C35" s="4" t="inlineStr">
        <is>
          <t>בנק דיסקונט</t>
        </is>
      </c>
      <c r="D35" s="4" t="n">
        <v>99011</v>
      </c>
      <c r="E35" s="4" t="n">
        <v>0</v>
      </c>
      <c r="F35" s="4" t="n">
        <v>350</v>
      </c>
      <c r="G35" s="3" t="n">
        <v>22136.49</v>
      </c>
      <c r="H35" s="4" t="inlineStr">
        <is>
          <t>העברה מאת: שרביט גל,טויזר נ 11-107-205119303 דירה 60</t>
        </is>
      </c>
    </row>
    <row r="36" customFormat="1" s="4">
      <c r="A36" s="2" t="n">
        <v>46299</v>
      </c>
      <c r="B36" s="2" t="n">
        <v>46299</v>
      </c>
      <c r="C36" s="4" t="inlineStr">
        <is>
          <t>בנק הפועלים</t>
        </is>
      </c>
      <c r="D36" s="4" t="n">
        <v>99012</v>
      </c>
      <c r="E36" s="4" t="n">
        <v>0</v>
      </c>
      <c r="F36" s="4" t="n">
        <v>350</v>
      </c>
      <c r="G36" s="3" t="n">
        <v>22486.49</v>
      </c>
      <c r="H36" s="4" t="inlineStr">
        <is>
          <t>העברה מאת: בייבקוב קו 12-701-000262613 דירה 9</t>
        </is>
      </c>
    </row>
    <row r="37" customFormat="1" s="4">
      <c r="A37" s="2" t="n">
        <v>46299</v>
      </c>
      <c r="B37" s="2" t="n">
        <v>46299</v>
      </c>
      <c r="C37" s="4" t="inlineStr">
        <is>
          <t>בנק הפועלים</t>
        </is>
      </c>
      <c r="D37" s="4" t="n">
        <v>99012</v>
      </c>
      <c r="E37" s="4" t="n">
        <v>0</v>
      </c>
      <c r="F37" s="4" t="n">
        <v>350</v>
      </c>
      <c r="G37" s="3" t="n">
        <v>22836.49</v>
      </c>
      <c r="H37" s="4" t="inlineStr">
        <is>
          <t>העברה מאת: צ`רניאק בו 12-703-000466089 דירה 44, תשלום ועד</t>
        </is>
      </c>
    </row>
    <row r="38" customFormat="1" s="4">
      <c r="A38" s="2" t="n">
        <v>46299</v>
      </c>
      <c r="B38" s="2" t="n">
        <v>46299</v>
      </c>
      <c r="C38" s="4" t="inlineStr">
        <is>
          <t>בנק הפועלים</t>
        </is>
      </c>
      <c r="D38" s="4" t="n">
        <v>99012</v>
      </c>
      <c r="E38" s="4" t="n">
        <v>0</v>
      </c>
      <c r="F38" s="4" t="n">
        <v>350</v>
      </c>
      <c r="G38" s="3" t="n">
        <v>23186.49</v>
      </c>
      <c r="H38" s="4" t="inlineStr">
        <is>
          <t>העברה מאת: אל איי הנד 12-703-000496840 ועד דירה 57</t>
        </is>
      </c>
    </row>
    <row r="39" customFormat="1" s="4">
      <c r="A39" s="2" t="n">
        <v>46299</v>
      </c>
      <c r="B39" s="2" t="n">
        <v>46299</v>
      </c>
      <c r="C39" s="4" t="inlineStr">
        <is>
          <t>בנק הפועלים</t>
        </is>
      </c>
      <c r="D39" s="4" t="n">
        <v>99012</v>
      </c>
      <c r="E39" s="4" t="n">
        <v>0</v>
      </c>
      <c r="F39" s="4" t="n">
        <v>350</v>
      </c>
      <c r="G39" s="3" t="n">
        <v>23536.49</v>
      </c>
      <c r="H39" s="4" t="inlineStr">
        <is>
          <t>העברה מאת: אסולין יעק 12-704-000263394 ועד בית</t>
        </is>
      </c>
    </row>
    <row r="40" customFormat="1" s="4">
      <c r="A40" s="2" t="n">
        <v>46299</v>
      </c>
      <c r="B40" s="2" t="n">
        <v>46299</v>
      </c>
      <c r="C40" s="4" t="inlineStr">
        <is>
          <t>בנק הפועלים</t>
        </is>
      </c>
      <c r="D40" s="4" t="n">
        <v>99012</v>
      </c>
      <c r="E40" s="4" t="n">
        <v>0</v>
      </c>
      <c r="F40" s="4" t="n">
        <v>350</v>
      </c>
      <c r="G40" s="3" t="n">
        <v>23886.49</v>
      </c>
      <c r="H40" s="4" t="inlineStr">
        <is>
          <t>העברה מאת: פולונסקי א 12-728-000012111 דירה 52</t>
        </is>
      </c>
    </row>
    <row r="41" customFormat="1" s="4">
      <c r="A41" s="2" t="n">
        <v>46299</v>
      </c>
      <c r="B41" s="2" t="n">
        <v>46299</v>
      </c>
      <c r="C41" s="4" t="inlineStr">
        <is>
          <t>בנק הפועלים</t>
        </is>
      </c>
      <c r="D41" s="4" t="n">
        <v>99012</v>
      </c>
      <c r="E41" s="4" t="n">
        <v>0</v>
      </c>
      <c r="F41" s="4" t="n">
        <v>350</v>
      </c>
      <c r="G41" s="3" t="n">
        <v>24236.49</v>
      </c>
      <c r="H41" s="4" t="inlineStr">
        <is>
          <t>העברה מאת: מוגילבסקי 12-728-000685973 תשלום וועד דירה 55</t>
        </is>
      </c>
    </row>
    <row r="42" customFormat="1" s="4">
      <c r="A42" s="2" t="n">
        <v>46299</v>
      </c>
      <c r="B42" s="2" t="n">
        <v>46299</v>
      </c>
      <c r="C42" s="4" t="inlineStr">
        <is>
          <t>בנק אוצר החיל</t>
        </is>
      </c>
      <c r="D42" s="4" t="n">
        <v>99014</v>
      </c>
      <c r="E42" s="4" t="n">
        <v>0</v>
      </c>
      <c r="F42" s="4" t="n">
        <v>350</v>
      </c>
      <c r="G42" s="3" t="n">
        <v>24586.49</v>
      </c>
      <c r="H42" s="4" t="inlineStr">
        <is>
          <t>העברה מאת: כהן אביאל 14-350-000175551 ועד בית</t>
        </is>
      </c>
    </row>
    <row r="43" customFormat="1" s="4">
      <c r="A43" s="2" t="n">
        <v>46299</v>
      </c>
      <c r="B43" s="2" t="n">
        <v>46299</v>
      </c>
      <c r="C43" s="4" t="inlineStr">
        <is>
          <t>בנק אוצר החיל</t>
        </is>
      </c>
      <c r="D43" s="4" t="n">
        <v>99014</v>
      </c>
      <c r="E43" s="4" t="n">
        <v>0</v>
      </c>
      <c r="F43" s="4" t="n">
        <v>350</v>
      </c>
      <c r="G43" s="3" t="n">
        <v>24936.49</v>
      </c>
      <c r="H43" s="4" t="inlineStr">
        <is>
          <t>העברה מאת: זלץ ניר ו/או נט 14-362-105079420 העברה לוועד בית</t>
        </is>
      </c>
    </row>
    <row r="44" customFormat="1" s="4">
      <c r="A44" s="2" t="n">
        <v>46299</v>
      </c>
      <c r="B44" s="2" t="n">
        <v>46299</v>
      </c>
      <c r="C44" s="4" t="inlineStr">
        <is>
          <t>בנק אוצר החיל</t>
        </is>
      </c>
      <c r="D44" s="4" t="n">
        <v>99014</v>
      </c>
      <c r="E44" s="4" t="n">
        <v>0</v>
      </c>
      <c r="F44" s="4" t="n">
        <v>350</v>
      </c>
      <c r="G44" s="3" t="n">
        <v>25286.49</v>
      </c>
      <c r="H44" s="4" t="inlineStr">
        <is>
          <t>העברה מאת: איטח ענת ו/או רפ 14-362-000321489 איטח ענת ורפי</t>
        </is>
      </c>
    </row>
    <row r="45" customFormat="1" s="4">
      <c r="A45" s="2" t="n">
        <v>46299</v>
      </c>
      <c r="B45" s="2" t="n">
        <v>46299</v>
      </c>
      <c r="C45" s="4" t="inlineStr">
        <is>
          <t>בנק מזרחי</t>
        </is>
      </c>
      <c r="D45" s="4" t="n">
        <v>99020</v>
      </c>
      <c r="E45" s="4" t="n">
        <v>0</v>
      </c>
      <c r="F45" s="4" t="n">
        <v>350</v>
      </c>
      <c r="G45" s="3" t="n">
        <v>25636.49</v>
      </c>
      <c r="H45" s="4" t="inlineStr">
        <is>
          <t>העברה מאת: וולמיר רות ואלכס 20-441-000075228 עבור דירה 7</t>
        </is>
      </c>
    </row>
    <row r="46" customFormat="1" s="4">
      <c r="A46" s="2" t="n">
        <v>46299</v>
      </c>
      <c r="B46" s="2" t="n">
        <v>46299</v>
      </c>
      <c r="C46" s="4" t="inlineStr">
        <is>
          <t>הוראת קבע</t>
        </is>
      </c>
      <c r="D46" s="4" t="n">
        <v>4512636</v>
      </c>
      <c r="E46" s="4" t="n">
        <v>0</v>
      </c>
      <c r="F46" s="4" t="n">
        <v>350</v>
      </c>
      <c r="G46" s="3" t="n">
        <v>25986.49</v>
      </c>
      <c r="H46" s="4" t="inlineStr">
        <is>
          <t>העברה מאת: קוטיגרו מיכאל 10-948-057374636 תשלום</t>
        </is>
      </c>
    </row>
    <row r="47" customFormat="1" s="4">
      <c r="A47" s="2" t="n">
        <v>46299</v>
      </c>
      <c r="B47" s="2" t="n">
        <v>46299</v>
      </c>
      <c r="C47" s="4" t="inlineStr">
        <is>
          <t>הוראת קבע</t>
        </is>
      </c>
      <c r="D47" s="4" t="n">
        <v>4875354</v>
      </c>
      <c r="E47" s="4" t="n">
        <v>0</v>
      </c>
      <c r="F47" s="4" t="n">
        <v>350</v>
      </c>
      <c r="G47" s="3" t="n">
        <v>26336.49</v>
      </c>
      <c r="H47" s="4" t="inlineStr">
        <is>
          <t>העברה מאת: בר ברקת ישראלי, 10-716-002056289 ועד בית דירה 5</t>
        </is>
      </c>
    </row>
    <row r="48" customFormat="1" s="4">
      <c r="A48" s="2" t="n">
        <v>46299</v>
      </c>
      <c r="B48" s="2" t="n">
        <v>46299</v>
      </c>
      <c r="C48" s="4" t="inlineStr">
        <is>
          <t>הוראת קבע</t>
        </is>
      </c>
      <c r="D48" s="4" t="n">
        <v>4883868</v>
      </c>
      <c r="E48" s="4" t="n">
        <v>0</v>
      </c>
      <c r="F48" s="4" t="n">
        <v>350</v>
      </c>
      <c r="G48" s="3" t="n">
        <v>26686.49</v>
      </c>
      <c r="H48" s="4" t="inlineStr">
        <is>
          <t>העברה מאת: לאוניד שכטמן 10-705-012376080 ועד בית</t>
        </is>
      </c>
    </row>
    <row r="49" customFormat="1" s="4">
      <c r="A49" s="2" t="n">
        <v>46299</v>
      </c>
      <c r="B49" s="2" t="n">
        <v>46299</v>
      </c>
      <c r="C49" s="4" t="inlineStr">
        <is>
          <t>הוראת קבע</t>
        </is>
      </c>
      <c r="D49" s="4" t="n">
        <v>4908474</v>
      </c>
      <c r="E49" s="4" t="n">
        <v>0</v>
      </c>
      <c r="F49" s="4" t="n">
        <v>350</v>
      </c>
      <c r="G49" s="3" t="n">
        <v>27036.49</v>
      </c>
      <c r="H49" s="4" t="inlineStr">
        <is>
          <t>העברה מאת: מנגסטה יטמין 10-885-001146229 דירה 8</t>
        </is>
      </c>
    </row>
    <row r="50" customFormat="1" s="4">
      <c r="A50" s="2" t="n">
        <v>46360</v>
      </c>
      <c r="B50" s="2" t="n">
        <v>46360</v>
      </c>
      <c r="C50" s="4" t="inlineStr">
        <is>
          <t>בנק דיסקונט</t>
        </is>
      </c>
      <c r="D50" s="4" t="n">
        <v>99011</v>
      </c>
      <c r="E50" s="4" t="n">
        <v>0</v>
      </c>
      <c r="F50" s="4" t="n">
        <v>350</v>
      </c>
      <c r="G50" s="3" t="n">
        <v>27386.49</v>
      </c>
      <c r="H50" s="4" t="inlineStr">
        <is>
          <t>העברה מאת: פרחי נדב,פרחי שי 11-107-003913440</t>
        </is>
      </c>
    </row>
    <row r="51" customFormat="1" s="154">
      <c r="A51" s="152" t="n">
        <v>46360</v>
      </c>
      <c r="B51" s="152" t="n">
        <v>46360</v>
      </c>
      <c r="C51" s="154" t="inlineStr">
        <is>
          <t>בנק הפועלים</t>
        </is>
      </c>
      <c r="D51" s="154" t="n">
        <v>99012</v>
      </c>
      <c r="E51" s="154" t="n">
        <v>0</v>
      </c>
      <c r="F51" s="154" t="n">
        <v>250</v>
      </c>
      <c r="G51" s="153" t="n">
        <v>27636.49</v>
      </c>
      <c r="H51" s="154" t="inlineStr">
        <is>
          <t>העברה מאת: אלייב שלמה -שלומ 12-703-000624018 קופה קטנה ועד אגמית תשלום שני</t>
        </is>
      </c>
    </row>
    <row r="52" customFormat="1" s="4">
      <c r="A52" s="2" t="n">
        <v>46360</v>
      </c>
      <c r="B52" s="2" t="n">
        <v>46360</v>
      </c>
      <c r="C52" s="4" t="inlineStr">
        <is>
          <t>בנק הפועלים</t>
        </is>
      </c>
      <c r="D52" s="4" t="n">
        <v>99012</v>
      </c>
      <c r="E52" s="4" t="n">
        <v>0</v>
      </c>
      <c r="F52" s="4" t="n">
        <v>350</v>
      </c>
      <c r="G52" s="3" t="n">
        <v>27986.49</v>
      </c>
      <c r="H52" s="4" t="inlineStr">
        <is>
          <t>העברה מאת: אלייב שלמה -שלומ 12-703-000624018 ועד בית חודש אפריל</t>
        </is>
      </c>
    </row>
    <row r="53" customFormat="1" s="154">
      <c r="A53" s="152" t="n">
        <v>46360</v>
      </c>
      <c r="B53" s="152" t="n">
        <v>46360</v>
      </c>
      <c r="C53" s="154" t="inlineStr">
        <is>
          <t>בנק הפועלים</t>
        </is>
      </c>
      <c r="D53" s="154" t="n">
        <v>99012</v>
      </c>
      <c r="E53" s="154" t="n">
        <v>0</v>
      </c>
      <c r="F53" s="154" t="n">
        <v>500</v>
      </c>
      <c r="G53" s="153" t="n">
        <v>28486.49</v>
      </c>
      <c r="H53" s="154" t="inlineStr">
        <is>
          <t>העברה מאת: אסולין יעקב ובן 12-704-000263394 קופה קטנה דירה 30</t>
        </is>
      </c>
    </row>
    <row r="54" customFormat="1" s="4">
      <c r="A54" s="2" t="n">
        <v>46360</v>
      </c>
      <c r="B54" s="2" t="n">
        <v>46360</v>
      </c>
      <c r="C54" s="4" t="inlineStr">
        <is>
          <t>הוראת קבע</t>
        </is>
      </c>
      <c r="D54" s="4" t="n">
        <v>4974656</v>
      </c>
      <c r="E54" s="4" t="n">
        <v>0</v>
      </c>
      <c r="F54" s="4" t="n">
        <v>350</v>
      </c>
      <c r="G54" s="3" t="n">
        <v>28836.49</v>
      </c>
      <c r="H54" s="4" t="inlineStr">
        <is>
          <t>העברה מאת: מיכאל זבוליוב, א 10-885-002348011 ועד בית</t>
        </is>
      </c>
    </row>
    <row r="55" customFormat="1" s="23">
      <c r="A55" s="141" t="n">
        <v>46360</v>
      </c>
      <c r="B55" s="141" t="n">
        <v>46360</v>
      </c>
      <c r="C55" s="23" t="inlineStr">
        <is>
          <t>העברה דיגיטל</t>
        </is>
      </c>
      <c r="D55" s="23" t="n">
        <v>235254</v>
      </c>
      <c r="E55" s="23" t="n">
        <v>0</v>
      </c>
      <c r="F55" s="23" t="n">
        <v>550</v>
      </c>
      <c r="G55" s="115" t="n">
        <v>29386.49</v>
      </c>
      <c r="H55" s="23" t="inlineStr">
        <is>
          <t>העברה מאת: סוזאנה שושנה 10-885-010687480 דירה 22 ועד אפריל קק חלק</t>
        </is>
      </c>
    </row>
    <row r="56" customFormat="1" s="4">
      <c r="A56" s="4" t="inlineStr">
        <is>
          <t>14/04/2026</t>
        </is>
      </c>
      <c r="B56" s="4" t="inlineStr">
        <is>
          <t>14/04/2026</t>
        </is>
      </c>
      <c r="C56" s="4" t="inlineStr">
        <is>
          <t>בנק אוצר החיל</t>
        </is>
      </c>
      <c r="D56" s="4" t="n">
        <v>99014</v>
      </c>
      <c r="E56" s="4" t="n">
        <v>0</v>
      </c>
      <c r="F56" s="4" t="n">
        <v>350</v>
      </c>
      <c r="G56" s="3" t="n">
        <v>29736.49</v>
      </c>
      <c r="H56" s="4" t="inlineStr">
        <is>
          <t>העברה מאת: מקייס סאספורתס ק 14-362-105318123 וועד (הערת לקוח)</t>
        </is>
      </c>
    </row>
    <row r="57" customFormat="1" s="4">
      <c r="A57" s="4" t="inlineStr">
        <is>
          <t>14/04/2026</t>
        </is>
      </c>
      <c r="B57" s="4" t="inlineStr">
        <is>
          <t>14/04/2026</t>
        </is>
      </c>
      <c r="C57" s="4" t="inlineStr">
        <is>
          <t>מהבינלאומי ס-י</t>
        </is>
      </c>
      <c r="D57" s="4" t="n">
        <v>99031</v>
      </c>
      <c r="E57" s="4" t="n">
        <v>0</v>
      </c>
      <c r="F57" s="4" t="n">
        <v>350</v>
      </c>
      <c r="G57" s="3" t="n">
        <v>30086.49</v>
      </c>
      <c r="H57" s="4" t="inlineStr">
        <is>
          <t>העברה מאת: לב משה ו/או מרקו 31-007-105009100 דירה 24 מש לב (הערת לקוח)</t>
        </is>
      </c>
    </row>
    <row r="58" customFormat="1" s="4">
      <c r="A58" s="4" t="inlineStr">
        <is>
          <t>15/04/2026</t>
        </is>
      </c>
      <c r="B58" s="4" t="inlineStr">
        <is>
          <t>15/04/2026</t>
        </is>
      </c>
      <c r="C58" s="4" t="inlineStr">
        <is>
          <t>מבנק יהב ס.-י</t>
        </is>
      </c>
      <c r="D58" s="4" t="n">
        <v>99004</v>
      </c>
      <c r="E58" s="4" t="n">
        <v>0</v>
      </c>
      <c r="F58" s="4" t="n">
        <v>350</v>
      </c>
      <c r="G58" s="3" t="n">
        <v>30436.49</v>
      </c>
      <c r="H58" s="4" t="inlineStr">
        <is>
          <t>העברה מאת: יונה חמד 04-140-000473912</t>
        </is>
      </c>
    </row>
    <row r="59" customFormat="1" s="4">
      <c r="A59" s="4" t="inlineStr">
        <is>
          <t>15/04/2026</t>
        </is>
      </c>
      <c r="B59" s="4" t="inlineStr">
        <is>
          <t>15/04/2026</t>
        </is>
      </c>
      <c r="C59" s="4" t="inlineStr">
        <is>
          <t>בנק הפועלים</t>
        </is>
      </c>
      <c r="D59" s="4" t="n">
        <v>99012</v>
      </c>
      <c r="E59" s="4" t="n">
        <v>0</v>
      </c>
      <c r="F59" s="4" t="n">
        <v>350</v>
      </c>
      <c r="G59" s="3" t="n">
        <v>30786.49</v>
      </c>
      <c r="H59" s="4" t="inlineStr">
        <is>
          <t>העברה מאת: ממן אושרי 12-703-000364148 תשלום ועד משפחת ממן</t>
        </is>
      </c>
    </row>
    <row r="60" customFormat="1" s="4">
      <c r="A60" s="4" t="inlineStr">
        <is>
          <t>15/04/2026</t>
        </is>
      </c>
      <c r="B60" s="4" t="inlineStr">
        <is>
          <t>15/04/2026</t>
        </is>
      </c>
      <c r="C60" s="4" t="inlineStr">
        <is>
          <t>בנק מזרחי</t>
        </is>
      </c>
      <c r="D60" s="4" t="n">
        <v>99020</v>
      </c>
      <c r="E60" s="4" t="n">
        <v>0</v>
      </c>
      <c r="F60" s="4" t="n">
        <v>350</v>
      </c>
      <c r="G60" s="3" t="n">
        <v>31136.49</v>
      </c>
      <c r="H60" s="4" t="inlineStr">
        <is>
          <t>העברה מאת: רובקין מרגריטה ו 20-444-000494106</t>
        </is>
      </c>
    </row>
    <row r="61" customFormat="1" s="4">
      <c r="A61" s="4" t="inlineStr">
        <is>
          <t>15/04/2026</t>
        </is>
      </c>
      <c r="B61" s="4" t="inlineStr">
        <is>
          <t>15/04/2026</t>
        </is>
      </c>
      <c r="C61" s="4" t="inlineStr">
        <is>
          <t>בנק מזרחי</t>
        </is>
      </c>
      <c r="D61" s="4" t="n">
        <v>99020</v>
      </c>
      <c r="E61" s="4" t="n">
        <v>0</v>
      </c>
      <c r="F61" s="4" t="n">
        <v>350</v>
      </c>
      <c r="G61" s="3" t="n">
        <v>31486.49</v>
      </c>
      <c r="H61" s="4" t="inlineStr">
        <is>
          <t>העברה מאת: בכר שי 20-523-000260701</t>
        </is>
      </c>
    </row>
    <row r="62" customFormat="1" s="4">
      <c r="A62" s="4" t="inlineStr">
        <is>
          <t>15/04/2026</t>
        </is>
      </c>
      <c r="B62" s="4" t="inlineStr">
        <is>
          <t>15/04/2026</t>
        </is>
      </c>
      <c r="C62" s="4" t="inlineStr">
        <is>
          <t>הוראת קבע</t>
        </is>
      </c>
      <c r="D62" s="4" t="n">
        <v>4795693</v>
      </c>
      <c r="E62" s="4" t="n">
        <v>0</v>
      </c>
      <c r="F62" s="4" t="n">
        <v>350</v>
      </c>
      <c r="G62" s="3" t="n">
        <v>31836.49</v>
      </c>
      <c r="H62" s="4" t="inlineStr">
        <is>
          <t>העברה מאת: חן לוי, נתנאל לו 10-885-002439793 שכר דירה</t>
        </is>
      </c>
    </row>
    <row r="63" customFormat="1" s="4">
      <c r="A63" s="4" t="inlineStr">
        <is>
          <t>15/04/2026</t>
        </is>
      </c>
      <c r="B63" s="4" t="inlineStr">
        <is>
          <t>15/04/2026</t>
        </is>
      </c>
      <c r="C63" s="4" t="inlineStr">
        <is>
          <t>הוראת קבע</t>
        </is>
      </c>
      <c r="D63" s="4" t="n">
        <v>4865441</v>
      </c>
      <c r="E63" s="4" t="n">
        <v>0</v>
      </c>
      <c r="F63" s="4" t="n">
        <v>350</v>
      </c>
      <c r="G63" s="3" t="n">
        <v>32186.49</v>
      </c>
      <c r="H63" s="4" t="inlineStr">
        <is>
          <t>העברה מאת: רביבו מאור 10-885-001567984 ועד בית דירה 6</t>
        </is>
      </c>
    </row>
    <row r="64" customFormat="1" s="4">
      <c r="A64" s="4" t="inlineStr">
        <is>
          <t>15/04/2026</t>
        </is>
      </c>
      <c r="B64" s="4" t="inlineStr">
        <is>
          <t>15/04/2026</t>
        </is>
      </c>
      <c r="C64" s="4" t="inlineStr">
        <is>
          <t>הוראת קבע</t>
        </is>
      </c>
      <c r="D64" s="4" t="n">
        <v>4865951</v>
      </c>
      <c r="E64" s="4" t="n">
        <v>0</v>
      </c>
      <c r="F64" s="4" t="n">
        <v>350</v>
      </c>
      <c r="G64" s="3" t="n">
        <v>32536.49</v>
      </c>
      <c r="H64" s="4" t="inlineStr">
        <is>
          <t>העברה מאת: טטיאנה סיגל, אלי 10-882-020472034 תשלום</t>
        </is>
      </c>
    </row>
    <row r="65" customFormat="1" s="4">
      <c r="A65" s="4" t="inlineStr">
        <is>
          <t>15/04/2026</t>
        </is>
      </c>
      <c r="B65" s="4" t="inlineStr">
        <is>
          <t>15/04/2026</t>
        </is>
      </c>
      <c r="C65" s="4" t="inlineStr">
        <is>
          <t>הוראת קבע</t>
        </is>
      </c>
      <c r="D65" s="4" t="n">
        <v>4870920</v>
      </c>
      <c r="E65" s="4" t="n">
        <v>0</v>
      </c>
      <c r="F65" s="4" t="n">
        <v>350</v>
      </c>
      <c r="G65" s="3" t="n">
        <v>32886.49</v>
      </c>
      <c r="H65" s="4" t="inlineStr">
        <is>
          <t>העברה מאת: גלמן אירינה 10-877-002493094 ועד בית</t>
        </is>
      </c>
    </row>
    <row r="66" customFormat="1" s="4">
      <c r="A66" s="4" t="inlineStr">
        <is>
          <t>15/04/2026</t>
        </is>
      </c>
      <c r="B66" s="4" t="inlineStr">
        <is>
          <t>15/04/2026</t>
        </is>
      </c>
      <c r="C66" s="4" t="inlineStr">
        <is>
          <t>הוראת קבע</t>
        </is>
      </c>
      <c r="D66" s="4" t="n">
        <v>4882283</v>
      </c>
      <c r="E66" s="4" t="n">
        <v>0</v>
      </c>
      <c r="F66" s="4" t="n">
        <v>350</v>
      </c>
      <c r="G66" s="3" t="n">
        <v>33236.49</v>
      </c>
      <c r="H66" s="4" t="inlineStr">
        <is>
          <t>העברה מאת: קטרין קוט 10-891-004022651 ועד דירה 51 אריסון</t>
        </is>
      </c>
    </row>
    <row r="67" customFormat="1" s="4">
      <c r="A67" s="4" t="inlineStr">
        <is>
          <t>17/04/2026</t>
        </is>
      </c>
      <c r="B67" s="4" t="inlineStr">
        <is>
          <t>17/04/2026</t>
        </is>
      </c>
      <c r="C67" s="4" t="inlineStr">
        <is>
          <t>בנק הפועלים</t>
        </is>
      </c>
      <c r="D67" s="4" t="n">
        <v>99012</v>
      </c>
      <c r="E67" s="4" t="n">
        <v>0</v>
      </c>
      <c r="F67" s="4" t="n">
        <v>350</v>
      </c>
      <c r="G67" s="3" t="n">
        <v>33586.49</v>
      </c>
      <c r="H67" s="4" t="inlineStr">
        <is>
          <t>העברה מאת: סיגלוב דמיטרי או 12-703-000021291 סיגלוב דירה 34</t>
        </is>
      </c>
    </row>
    <row r="68">
      <c r="A68" s="129" t="inlineStr">
        <is>
          <t>17/04/2026</t>
        </is>
      </c>
      <c r="B68" s="129" t="inlineStr">
        <is>
          <t>17/04/2026</t>
        </is>
      </c>
      <c r="C68" s="129" t="inlineStr">
        <is>
          <t>הע. אינטרנט</t>
        </is>
      </c>
      <c r="D68" s="129" t="n">
        <v>57228</v>
      </c>
      <c r="E68" s="129" t="n">
        <v>239</v>
      </c>
      <c r="F68" s="129" t="n">
        <v>0</v>
      </c>
      <c r="G68" s="147" t="n">
        <v>33347.49</v>
      </c>
      <c r="H68" s="129" t="inlineStr">
        <is>
          <t>העברה אל: אבישי שורץ 11-076-006640178 צבע</t>
        </is>
      </c>
    </row>
    <row r="69">
      <c r="A69" s="129" t="inlineStr">
        <is>
          <t>17/04/2026</t>
        </is>
      </c>
      <c r="B69" s="129" t="inlineStr">
        <is>
          <t>17/04/2026</t>
        </is>
      </c>
      <c r="C69" s="129" t="inlineStr">
        <is>
          <t>הע. אינטרנט</t>
        </is>
      </c>
      <c r="D69" s="129" t="n">
        <v>60518</v>
      </c>
      <c r="E69" s="129" t="n">
        <v>69</v>
      </c>
      <c r="F69" s="129" t="n">
        <v>0</v>
      </c>
      <c r="G69" s="147" t="n">
        <v>33278.49</v>
      </c>
      <c r="H69" s="129" t="inlineStr">
        <is>
          <t>העברה אל: אבישי שורץ 11-076-006640178 מברשת פלדה דגל</t>
        </is>
      </c>
    </row>
    <row r="70">
      <c r="A70" s="129" t="inlineStr">
        <is>
          <t>20/04/2026</t>
        </is>
      </c>
      <c r="B70" s="129" t="inlineStr">
        <is>
          <t>20/04/2026</t>
        </is>
      </c>
      <c r="C70" s="129" t="inlineStr">
        <is>
          <t>העברה דיגיטל</t>
        </is>
      </c>
      <c r="D70" s="129" t="n">
        <v>23703</v>
      </c>
      <c r="E70" s="147" t="n">
        <v>2006</v>
      </c>
      <c r="F70" s="129" t="n">
        <v>0</v>
      </c>
      <c r="G70" s="147" t="n">
        <v>31272.49</v>
      </c>
      <c r="H70" s="129" t="inlineStr">
        <is>
          <t>העברה אל: יעקב אלישע 12-719-000272874 האגמית 7 חיטוי מאגרים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R60"/>
  <sheetViews>
    <sheetView rightToLeft="1" zoomScale="115" zoomScaleNormal="115" workbookViewId="0">
      <selection activeCell="C5" sqref="C5"/>
    </sheetView>
  </sheetViews>
  <sheetFormatPr baseColWidth="8" defaultRowHeight="15"/>
  <cols>
    <col width="23.7109375" bestFit="1" customWidth="1" style="197" min="1" max="1"/>
    <col width="13" bestFit="1" customWidth="1" style="197" min="2" max="2"/>
    <col width="11.85546875" bestFit="1" customWidth="1" style="197" min="3" max="3"/>
    <col width="12.28515625" bestFit="1" customWidth="1" style="197" min="4" max="4"/>
    <col width="11.5703125" bestFit="1" customWidth="1" style="197" min="5" max="5"/>
    <col width="10.85546875" bestFit="1" customWidth="1" style="197" min="6" max="9"/>
    <col width="13.85546875" customWidth="1" style="197" min="10" max="10"/>
    <col width="13.140625" customWidth="1" style="197" min="11" max="11"/>
    <col width="12.7109375" bestFit="1" customWidth="1" style="197" min="14" max="14"/>
  </cols>
  <sheetData>
    <row r="1">
      <c r="A1" t="inlineStr">
        <is>
          <t>פריט</t>
        </is>
      </c>
      <c r="B1" t="inlineStr">
        <is>
          <t>ינואר</t>
        </is>
      </c>
      <c r="C1" t="inlineStr">
        <is>
          <t>פברואר</t>
        </is>
      </c>
      <c r="D1" t="inlineStr">
        <is>
          <t>מרץ</t>
        </is>
      </c>
      <c r="E1" t="inlineStr">
        <is>
          <t>אפריל</t>
        </is>
      </c>
      <c r="F1" t="inlineStr">
        <is>
          <t>מאי</t>
        </is>
      </c>
      <c r="G1" t="inlineStr">
        <is>
          <t>יוני</t>
        </is>
      </c>
      <c r="H1" t="inlineStr">
        <is>
          <t>יולי</t>
        </is>
      </c>
      <c r="I1" t="inlineStr">
        <is>
          <t>אוגוסט</t>
        </is>
      </c>
      <c r="J1" t="inlineStr">
        <is>
          <t>ספטמבר</t>
        </is>
      </c>
      <c r="K1" t="inlineStr">
        <is>
          <t>אוקטובר</t>
        </is>
      </c>
      <c r="L1" t="inlineStr">
        <is>
          <t>נובמבר</t>
        </is>
      </c>
      <c r="M1" t="inlineStr">
        <is>
          <t>דצמבר</t>
        </is>
      </c>
    </row>
    <row r="2">
      <c r="A2" t="inlineStr">
        <is>
          <t>מנוע מפוח גג</t>
        </is>
      </c>
      <c r="B2" s="237" t="n">
        <v>10266</v>
      </c>
      <c r="C2" s="237" t="n"/>
      <c r="D2" s="237" t="n"/>
      <c r="E2" s="237" t="n"/>
      <c r="F2" s="237" t="n"/>
      <c r="G2" s="237" t="n"/>
      <c r="H2" s="237" t="n"/>
      <c r="I2" s="237" t="n"/>
      <c r="J2" s="237" t="n"/>
      <c r="K2" s="237" t="n"/>
      <c r="L2" s="237" t="n"/>
      <c r="M2" s="237" t="n"/>
    </row>
    <row r="3">
      <c r="A3" t="inlineStr">
        <is>
          <t>אינטרקום - אבני שפה</t>
        </is>
      </c>
      <c r="B3" s="237" t="n">
        <v>500</v>
      </c>
      <c r="C3" s="237" t="n"/>
      <c r="D3" s="237" t="n"/>
      <c r="E3" s="237" t="n"/>
      <c r="F3" s="237" t="n"/>
      <c r="G3" s="237" t="n"/>
      <c r="H3" s="237" t="n"/>
      <c r="I3" s="237" t="n"/>
      <c r="J3" s="237" t="n"/>
      <c r="K3" s="237" t="n"/>
      <c r="L3" s="237" t="n"/>
      <c r="M3" s="237" t="n"/>
      <c r="P3" s="20" t="n"/>
      <c r="Q3" s="20" t="n"/>
      <c r="R3" s="21" t="n"/>
    </row>
    <row r="4">
      <c r="A4" t="inlineStr">
        <is>
          <t>אינטרקום</t>
        </is>
      </c>
      <c r="B4" s="237" t="n"/>
      <c r="C4" s="237" t="n">
        <v>14350</v>
      </c>
      <c r="D4" s="237" t="n"/>
      <c r="E4" s="237" t="n"/>
      <c r="F4" s="237" t="n"/>
      <c r="G4" s="237" t="n"/>
      <c r="H4" s="237" t="n"/>
      <c r="I4" s="237" t="n"/>
      <c r="J4" s="237" t="n"/>
      <c r="K4" s="237" t="n"/>
      <c r="L4" s="237" t="n"/>
      <c r="M4" s="237" t="n"/>
    </row>
    <row r="5">
      <c r="A5" t="inlineStr">
        <is>
          <t>אבני שפה כניסה קדמית</t>
        </is>
      </c>
      <c r="B5" s="237" t="n"/>
      <c r="C5" s="237" t="n">
        <v>700</v>
      </c>
      <c r="D5" s="237" t="n"/>
      <c r="E5" s="237" t="n"/>
      <c r="F5" s="237" t="n"/>
      <c r="G5" s="237" t="n"/>
      <c r="H5" s="237" t="n"/>
      <c r="I5" s="237" t="n"/>
      <c r="J5" s="237" t="n"/>
      <c r="K5" s="237" t="n"/>
      <c r="L5" s="237" t="n"/>
      <c r="M5" s="237" t="n"/>
    </row>
    <row r="6">
      <c r="B6" s="237" t="n"/>
      <c r="C6" s="237" t="n"/>
      <c r="D6" s="237" t="n"/>
      <c r="E6" s="237" t="n"/>
      <c r="F6" s="237" t="n"/>
      <c r="G6" s="237" t="n"/>
      <c r="H6" s="237" t="n"/>
      <c r="I6" s="237" t="n"/>
      <c r="J6" s="237" t="n"/>
      <c r="K6" s="237" t="n"/>
      <c r="L6" s="237" t="n"/>
      <c r="M6" s="237" t="n"/>
    </row>
    <row r="7">
      <c r="B7" s="237" t="n"/>
      <c r="C7" s="237" t="n"/>
      <c r="D7" s="237" t="n"/>
      <c r="E7" s="237" t="n"/>
      <c r="F7" s="237" t="n"/>
      <c r="G7" s="237" t="n"/>
      <c r="H7" s="237" t="n"/>
      <c r="I7" s="237" t="n"/>
      <c r="J7" s="237" t="n"/>
      <c r="K7" s="237" t="n"/>
      <c r="L7" s="237" t="n"/>
      <c r="M7" s="237" t="n"/>
    </row>
    <row r="8">
      <c r="B8" s="237" t="n"/>
      <c r="C8" s="237" t="n"/>
      <c r="D8" s="237" t="n"/>
      <c r="E8" s="237" t="n"/>
      <c r="F8" s="237" t="n"/>
      <c r="G8" s="237" t="n"/>
      <c r="H8" s="237" t="n"/>
      <c r="I8" s="237" t="n"/>
      <c r="J8" s="237" t="n"/>
      <c r="K8" s="237" t="n"/>
      <c r="L8" s="237" t="n"/>
      <c r="M8" s="237" t="n"/>
    </row>
    <row r="9">
      <c r="B9" s="237" t="n"/>
      <c r="C9" s="237" t="n"/>
      <c r="D9" s="237" t="n"/>
      <c r="E9" s="237" t="n"/>
      <c r="F9" s="237" t="n"/>
      <c r="G9" s="237" t="n"/>
      <c r="H9" s="237" t="n"/>
      <c r="I9" s="237" t="n"/>
      <c r="J9" s="237" t="n"/>
      <c r="K9" s="237" t="n"/>
      <c r="L9" s="237" t="n"/>
      <c r="M9" s="237" t="n"/>
    </row>
    <row r="10">
      <c r="B10" s="237" t="n"/>
      <c r="C10" s="237" t="n"/>
      <c r="D10" s="237" t="n"/>
      <c r="E10" s="237" t="n"/>
      <c r="F10" s="237" t="n"/>
      <c r="G10" s="237" t="n"/>
      <c r="H10" s="237" t="n"/>
      <c r="I10" s="237" t="n"/>
      <c r="J10" s="237" t="n"/>
      <c r="K10" s="237" t="n"/>
      <c r="L10" s="237" t="n"/>
      <c r="M10" s="237" t="n"/>
    </row>
    <row r="11">
      <c r="B11" s="237" t="n"/>
      <c r="C11" s="237" t="n"/>
      <c r="D11" s="237" t="n"/>
      <c r="E11" s="237" t="n"/>
      <c r="F11" s="237" t="n"/>
      <c r="G11" s="237" t="n"/>
      <c r="H11" s="237" t="n"/>
      <c r="I11" s="237" t="n"/>
      <c r="J11" s="237" t="n"/>
      <c r="K11" s="237" t="n"/>
      <c r="L11" s="237" t="n"/>
      <c r="M11" s="237" t="n"/>
    </row>
    <row r="12">
      <c r="B12" s="237" t="n"/>
      <c r="C12" s="237" t="n"/>
      <c r="D12" s="237" t="n"/>
      <c r="E12" s="237" t="n"/>
      <c r="F12" s="237" t="n"/>
      <c r="G12" s="237" t="n"/>
      <c r="H12" s="237" t="n"/>
      <c r="I12" s="237" t="n"/>
      <c r="J12" s="237" t="n"/>
      <c r="K12" s="237" t="n"/>
      <c r="L12" s="237" t="n"/>
      <c r="M12" s="237" t="n"/>
    </row>
    <row r="13">
      <c r="B13" s="237" t="n"/>
      <c r="C13" s="237" t="n"/>
      <c r="D13" s="237" t="n"/>
      <c r="E13" s="237" t="n"/>
      <c r="F13" s="237" t="n"/>
      <c r="G13" s="237" t="n"/>
      <c r="H13" s="237" t="n"/>
      <c r="I13" s="237" t="n"/>
      <c r="J13" s="237" t="n"/>
      <c r="K13" s="237" t="n"/>
      <c r="L13" s="237" t="n"/>
      <c r="M13" s="237" t="n"/>
    </row>
    <row r="14">
      <c r="B14" s="237" t="n"/>
      <c r="C14" s="237" t="n"/>
      <c r="D14" s="237" t="n"/>
      <c r="E14" s="237" t="n"/>
      <c r="F14" s="237" t="n"/>
      <c r="G14" s="237" t="n"/>
      <c r="H14" s="237" t="n"/>
      <c r="I14" s="237" t="n"/>
      <c r="J14" s="237" t="n"/>
      <c r="K14" s="237" t="n"/>
      <c r="L14" s="237" t="n"/>
      <c r="M14" s="237" t="n"/>
    </row>
    <row r="15">
      <c r="B15" s="237" t="n"/>
      <c r="C15" s="237" t="n"/>
      <c r="D15" s="237" t="n"/>
      <c r="E15" s="237" t="n"/>
      <c r="F15" s="237" t="n"/>
      <c r="G15" s="237" t="n"/>
      <c r="H15" s="237" t="n"/>
      <c r="I15" s="237" t="n"/>
      <c r="J15" s="237" t="n"/>
      <c r="K15" s="237" t="n"/>
      <c r="L15" s="237" t="n"/>
      <c r="M15" s="237" t="n"/>
    </row>
    <row r="16">
      <c r="B16" s="237" t="n"/>
      <c r="C16" s="237" t="n"/>
      <c r="D16" s="237" t="n"/>
      <c r="E16" s="237" t="n"/>
      <c r="F16" s="237" t="n"/>
      <c r="G16" s="237" t="n"/>
      <c r="H16" s="237" t="n"/>
      <c r="I16" s="237" t="n"/>
      <c r="J16" s="237" t="n"/>
      <c r="K16" s="237" t="n"/>
      <c r="L16" s="237" t="n"/>
      <c r="M16" s="237" t="n"/>
    </row>
    <row r="17">
      <c r="B17" s="237" t="n"/>
      <c r="C17" s="237" t="n"/>
      <c r="D17" s="237" t="n"/>
      <c r="E17" s="237" t="n"/>
      <c r="F17" s="237" t="n"/>
      <c r="G17" s="237" t="n"/>
      <c r="H17" s="237" t="n"/>
      <c r="I17" s="237" t="n"/>
      <c r="J17" s="237" t="n"/>
      <c r="K17" s="237" t="n"/>
      <c r="L17" s="237" t="n"/>
      <c r="M17" s="237" t="n"/>
    </row>
    <row r="18">
      <c r="B18" s="237" t="n"/>
      <c r="C18" s="237" t="n"/>
      <c r="D18" s="237" t="n"/>
      <c r="E18" s="237" t="n"/>
      <c r="F18" s="237" t="n"/>
      <c r="G18" s="237" t="n"/>
      <c r="H18" s="237" t="n"/>
      <c r="I18" s="237" t="n"/>
      <c r="J18" s="237" t="n"/>
      <c r="K18" s="237" t="n"/>
      <c r="L18" s="237" t="n"/>
      <c r="M18" s="237" t="n"/>
    </row>
    <row r="19">
      <c r="B19" s="237" t="n"/>
      <c r="C19" s="237" t="n"/>
      <c r="D19" s="237" t="n"/>
      <c r="E19" s="237" t="n"/>
      <c r="F19" s="237" t="n"/>
      <c r="G19" s="237" t="n"/>
      <c r="H19" s="237" t="n"/>
      <c r="I19" s="237" t="n"/>
      <c r="J19" s="237" t="n"/>
      <c r="K19" s="237" t="n"/>
      <c r="L19" s="237" t="n"/>
      <c r="M19" s="237" t="n"/>
    </row>
    <row r="20">
      <c r="B20" s="237" t="n"/>
      <c r="C20" s="237" t="n"/>
      <c r="D20" s="237" t="n"/>
      <c r="E20" s="237" t="n"/>
      <c r="F20" s="237" t="n"/>
      <c r="G20" s="237" t="n"/>
      <c r="H20" s="237" t="n"/>
      <c r="I20" s="237" t="n"/>
      <c r="J20" s="237" t="n"/>
      <c r="K20" s="237" t="n"/>
      <c r="L20" s="237" t="n"/>
      <c r="M20" s="237" t="n"/>
    </row>
    <row r="21">
      <c r="B21" s="237" t="n"/>
      <c r="C21" s="237" t="n"/>
      <c r="D21" s="237" t="n"/>
      <c r="E21" s="237" t="n"/>
      <c r="F21" s="237" t="n"/>
      <c r="G21" s="237" t="n"/>
      <c r="H21" s="237" t="n"/>
      <c r="I21" s="237" t="n"/>
      <c r="J21" s="237" t="n"/>
      <c r="K21" s="237" t="n"/>
      <c r="L21" s="237" t="n"/>
      <c r="M21" s="237" t="n"/>
    </row>
    <row r="22">
      <c r="B22" s="237" t="n"/>
      <c r="C22" s="237" t="n"/>
      <c r="D22" s="237" t="n"/>
      <c r="E22" s="237" t="n"/>
      <c r="F22" s="237" t="n"/>
      <c r="G22" s="237" t="n"/>
      <c r="H22" s="237" t="n"/>
      <c r="I22" s="237" t="n"/>
      <c r="J22" s="237" t="n"/>
      <c r="K22" s="237" t="n"/>
      <c r="L22" s="237" t="n"/>
      <c r="M22" s="237" t="n"/>
    </row>
    <row r="23">
      <c r="B23" s="237" t="n"/>
      <c r="C23" s="237" t="n"/>
      <c r="D23" s="237" t="n"/>
      <c r="E23" s="237" t="n"/>
      <c r="F23" s="237" t="n"/>
      <c r="G23" s="237" t="n"/>
      <c r="H23" s="237" t="n"/>
      <c r="I23" s="237" t="n"/>
      <c r="J23" s="237" t="n"/>
      <c r="K23" s="237" t="n"/>
      <c r="L23" s="237" t="n"/>
      <c r="M23" s="237" t="n"/>
    </row>
    <row r="24">
      <c r="B24" s="237" t="n"/>
      <c r="C24" s="237" t="n"/>
      <c r="D24" s="237" t="n"/>
      <c r="E24" s="237" t="n"/>
      <c r="F24" s="237" t="n"/>
      <c r="G24" s="237" t="n"/>
      <c r="H24" s="237" t="n"/>
      <c r="I24" s="237" t="n"/>
      <c r="J24" s="237" t="n"/>
      <c r="K24" s="237" t="n"/>
      <c r="L24" s="237" t="n"/>
      <c r="M24" s="237" t="n"/>
    </row>
    <row r="25">
      <c r="B25" s="237" t="n"/>
      <c r="C25" s="237" t="n"/>
      <c r="D25" s="237" t="n"/>
      <c r="E25" s="237" t="n"/>
      <c r="F25" s="237" t="n"/>
      <c r="G25" s="237" t="n"/>
      <c r="H25" s="237" t="n"/>
      <c r="I25" s="237" t="n"/>
      <c r="J25" s="237" t="n"/>
      <c r="K25" s="237" t="n"/>
      <c r="L25" s="237" t="n"/>
      <c r="M25" s="237" t="n"/>
    </row>
    <row r="26">
      <c r="B26" s="237" t="n"/>
      <c r="C26" s="237" t="n"/>
      <c r="D26" s="237" t="n"/>
      <c r="E26" s="237" t="n"/>
      <c r="F26" s="237" t="n"/>
      <c r="G26" s="237" t="n"/>
      <c r="H26" s="237" t="n"/>
      <c r="I26" s="237" t="n"/>
      <c r="J26" s="237" t="n"/>
      <c r="K26" s="237" t="n"/>
      <c r="L26" s="237" t="n"/>
      <c r="M26" s="237" t="n"/>
    </row>
    <row r="27">
      <c r="B27" s="237" t="n"/>
      <c r="C27" s="237" t="n"/>
      <c r="D27" s="237" t="n"/>
      <c r="E27" s="237" t="n"/>
      <c r="F27" s="237" t="n"/>
      <c r="G27" s="237" t="n"/>
      <c r="H27" s="237" t="n"/>
      <c r="I27" s="237" t="n"/>
      <c r="J27" s="237" t="n"/>
      <c r="K27" s="237" t="n"/>
      <c r="L27" s="237" t="n"/>
      <c r="M27" s="237" t="n"/>
    </row>
    <row r="28">
      <c r="B28" s="237" t="n"/>
      <c r="C28" s="237" t="n"/>
      <c r="D28" s="237" t="n"/>
      <c r="E28" s="237" t="n"/>
      <c r="F28" s="237" t="n"/>
      <c r="G28" s="237" t="n"/>
      <c r="H28" s="237" t="n"/>
      <c r="I28" s="237" t="n"/>
      <c r="J28" s="237" t="n"/>
      <c r="K28" s="237" t="n"/>
      <c r="L28" s="237" t="n"/>
      <c r="M28" s="237" t="n"/>
    </row>
    <row r="29">
      <c r="B29" s="237" t="n"/>
      <c r="C29" s="237" t="n"/>
      <c r="D29" s="237" t="n"/>
      <c r="E29" s="237" t="n"/>
      <c r="F29" s="237" t="n"/>
      <c r="G29" s="237" t="n"/>
      <c r="H29" s="237" t="n"/>
      <c r="I29" s="237" t="n"/>
      <c r="J29" s="237" t="n"/>
      <c r="K29" s="237" t="n"/>
      <c r="L29" s="237" t="n"/>
      <c r="M29" s="237" t="n"/>
    </row>
    <row r="30">
      <c r="B30" s="237" t="n"/>
      <c r="C30" s="237" t="n"/>
      <c r="D30" s="237" t="n"/>
      <c r="E30" s="237" t="n"/>
      <c r="F30" s="237" t="n"/>
      <c r="G30" s="237" t="n"/>
      <c r="H30" s="237" t="n"/>
      <c r="I30" s="237" t="n"/>
      <c r="J30" s="237" t="n"/>
      <c r="K30" s="237" t="n"/>
      <c r="L30" s="237" t="n"/>
      <c r="M30" s="237" t="n"/>
    </row>
    <row r="31">
      <c r="B31" s="237" t="n"/>
      <c r="C31" s="237" t="n"/>
      <c r="D31" s="237" t="n"/>
      <c r="E31" s="237" t="n"/>
      <c r="F31" s="237" t="n"/>
      <c r="G31" s="237" t="n"/>
      <c r="H31" s="237" t="n"/>
      <c r="I31" s="237" t="n"/>
      <c r="J31" s="237" t="n"/>
      <c r="K31" s="237" t="n"/>
      <c r="L31" s="237" t="n"/>
      <c r="M31" s="237" t="n"/>
    </row>
    <row r="32">
      <c r="B32" s="237" t="n"/>
      <c r="C32" s="237" t="n"/>
      <c r="D32" s="237" t="n"/>
      <c r="E32" s="237" t="n"/>
      <c r="F32" s="237" t="n"/>
      <c r="G32" s="237" t="n"/>
      <c r="H32" s="237" t="n"/>
      <c r="I32" s="237" t="n"/>
      <c r="J32" s="237" t="n"/>
      <c r="K32" s="237" t="n"/>
      <c r="L32" s="237" t="n"/>
      <c r="M32" s="237" t="n"/>
    </row>
    <row r="33">
      <c r="B33" s="237" t="n"/>
      <c r="C33" s="237" t="n"/>
      <c r="D33" s="237" t="n"/>
      <c r="E33" s="237" t="n"/>
      <c r="F33" s="237" t="n"/>
      <c r="G33" s="237" t="n"/>
      <c r="H33" s="237" t="n"/>
      <c r="I33" s="237" t="n"/>
      <c r="J33" s="237" t="n"/>
      <c r="K33" s="237" t="n"/>
      <c r="L33" s="237" t="n"/>
      <c r="M33" s="237" t="n"/>
    </row>
    <row r="34">
      <c r="B34" s="237" t="n"/>
      <c r="C34" s="237" t="n"/>
      <c r="D34" s="237" t="n"/>
      <c r="E34" s="237" t="n"/>
      <c r="F34" s="237" t="n"/>
      <c r="G34" s="237" t="n"/>
      <c r="H34" s="237" t="n"/>
      <c r="I34" s="237" t="n"/>
      <c r="J34" s="237" t="n"/>
      <c r="K34" s="237" t="n"/>
      <c r="L34" s="237" t="n"/>
      <c r="M34" s="237" t="n"/>
    </row>
    <row r="35">
      <c r="B35" s="237" t="n"/>
      <c r="C35" s="237" t="n"/>
      <c r="D35" s="237" t="n"/>
      <c r="E35" s="237" t="n"/>
      <c r="F35" s="237" t="n"/>
      <c r="G35" s="237" t="n"/>
      <c r="H35" s="237" t="n"/>
      <c r="I35" s="237" t="n"/>
      <c r="J35" s="237" t="n"/>
      <c r="K35" s="237" t="n"/>
      <c r="L35" s="237" t="n"/>
      <c r="M35" s="237" t="n"/>
    </row>
    <row r="36">
      <c r="B36" s="237" t="n"/>
      <c r="C36" s="237" t="n"/>
      <c r="D36" s="237" t="n"/>
      <c r="E36" s="237" t="n"/>
      <c r="F36" s="237" t="n"/>
      <c r="G36" s="237" t="n"/>
      <c r="H36" s="237" t="n"/>
      <c r="I36" s="237" t="n"/>
      <c r="J36" s="237" t="n"/>
      <c r="K36" s="237" t="n"/>
      <c r="L36" s="237" t="n"/>
      <c r="M36" s="237" t="n"/>
    </row>
    <row r="37">
      <c r="B37" s="237" t="n"/>
      <c r="C37" s="237" t="n"/>
      <c r="D37" s="237" t="n"/>
      <c r="E37" s="237" t="n"/>
      <c r="F37" s="237" t="n"/>
      <c r="G37" s="237" t="n"/>
      <c r="H37" s="237" t="n"/>
      <c r="I37" s="237" t="n"/>
      <c r="J37" s="237" t="n"/>
      <c r="K37" s="237" t="n"/>
      <c r="L37" s="237" t="n"/>
      <c r="M37" s="237" t="n"/>
    </row>
    <row r="38">
      <c r="B38" s="237" t="n"/>
      <c r="C38" s="237" t="n"/>
      <c r="D38" s="237" t="n"/>
      <c r="E38" s="237" t="n"/>
      <c r="F38" s="237" t="n"/>
      <c r="G38" s="237" t="n"/>
      <c r="H38" s="237" t="n"/>
      <c r="I38" s="237" t="n"/>
      <c r="J38" s="237" t="n"/>
      <c r="K38" s="237" t="n"/>
      <c r="L38" s="237" t="n"/>
      <c r="M38" s="237" t="n"/>
    </row>
    <row r="39">
      <c r="B39" s="237" t="n"/>
      <c r="C39" s="237" t="n"/>
      <c r="D39" s="237" t="n"/>
      <c r="E39" s="237" t="n"/>
      <c r="F39" s="237" t="n"/>
      <c r="G39" s="237" t="n"/>
      <c r="H39" s="237" t="n"/>
      <c r="I39" s="237" t="n"/>
      <c r="J39" s="237" t="n"/>
      <c r="K39" s="237" t="n"/>
      <c r="L39" s="237" t="n"/>
      <c r="M39" s="237" t="n"/>
    </row>
    <row r="40">
      <c r="B40" s="237" t="n"/>
      <c r="C40" s="237" t="n"/>
      <c r="D40" s="237" t="n"/>
      <c r="E40" s="237" t="n"/>
      <c r="F40" s="237" t="n"/>
      <c r="G40" s="237" t="n"/>
      <c r="H40" s="237" t="n"/>
      <c r="I40" s="237" t="n"/>
      <c r="J40" s="237" t="n"/>
      <c r="K40" s="237" t="n"/>
      <c r="L40" s="237" t="n"/>
      <c r="M40" s="237" t="n"/>
    </row>
    <row r="41">
      <c r="B41" s="237" t="n"/>
      <c r="C41" s="237" t="n"/>
      <c r="D41" s="237" t="n"/>
      <c r="E41" s="237" t="n"/>
      <c r="F41" s="237" t="n"/>
      <c r="G41" s="237" t="n"/>
      <c r="H41" s="237" t="n"/>
      <c r="I41" s="237" t="n"/>
      <c r="J41" s="237" t="n"/>
      <c r="K41" s="237" t="n"/>
      <c r="L41" s="237" t="n"/>
      <c r="M41" s="237" t="n"/>
    </row>
    <row r="42">
      <c r="B42" s="237" t="n"/>
      <c r="C42" s="237" t="n"/>
      <c r="D42" s="237" t="n"/>
      <c r="E42" s="237" t="n"/>
      <c r="F42" s="237" t="n"/>
      <c r="G42" s="237" t="n"/>
      <c r="H42" s="237" t="n"/>
      <c r="I42" s="237" t="n"/>
      <c r="J42" s="237" t="n"/>
      <c r="K42" s="237" t="n"/>
      <c r="L42" s="237" t="n"/>
      <c r="M42" s="237" t="n"/>
      <c r="N42" s="20" t="inlineStr">
        <is>
          <t>סה"כ שנתי</t>
        </is>
      </c>
    </row>
    <row r="43">
      <c r="A43" t="inlineStr">
        <is>
          <t>סה"כ</t>
        </is>
      </c>
      <c r="B43" s="237">
        <f>SUM(B2:B13)</f>
        <v/>
      </c>
      <c r="C43" s="237">
        <f>SUM(C2:C13)</f>
        <v/>
      </c>
      <c r="D43" s="237">
        <f>SUM(D2:D14)</f>
        <v/>
      </c>
      <c r="E43" s="237">
        <f>SUM(E4:E18)</f>
        <v/>
      </c>
      <c r="F43" s="237">
        <f>SUM(F4:F22)</f>
        <v/>
      </c>
      <c r="G43" s="237">
        <f>SUM(G4:G26)</f>
        <v/>
      </c>
      <c r="H43" s="237">
        <f>SUM(H4:H33)</f>
        <v/>
      </c>
      <c r="I43" s="237">
        <f>SUM(I4:I33)</f>
        <v/>
      </c>
      <c r="J43" s="237">
        <f>SUM(J4:J38)</f>
        <v/>
      </c>
      <c r="K43" s="237">
        <f>SUM(K4:K40)</f>
        <v/>
      </c>
      <c r="L43" s="237">
        <f>SUM(L36:L42)</f>
        <v/>
      </c>
      <c r="M43" s="237" t="n"/>
      <c r="N43" s="238">
        <f>SUM(B43:M43)</f>
        <v/>
      </c>
    </row>
    <row r="47">
      <c r="B47" t="n">
        <v>2024</v>
      </c>
      <c r="C47" t="n">
        <v>2025</v>
      </c>
      <c r="D47" t="n">
        <v>2026</v>
      </c>
    </row>
    <row r="48">
      <c r="A48" t="inlineStr">
        <is>
          <t>גביה 2024</t>
        </is>
      </c>
      <c r="B48" s="237" t="n">
        <v>30000</v>
      </c>
      <c r="C48" s="237" t="n">
        <v>29833</v>
      </c>
      <c r="D48" s="239">
        <f>'גביה 2026'!Q62</f>
        <v/>
      </c>
    </row>
    <row r="49">
      <c r="A49" t="inlineStr">
        <is>
          <t>שימוש 2024</t>
        </is>
      </c>
      <c r="B49" s="237" t="n">
        <v>20057</v>
      </c>
      <c r="C49" s="237" t="n">
        <v>33893</v>
      </c>
      <c r="D49" s="239">
        <f>N43</f>
        <v/>
      </c>
    </row>
    <row r="50">
      <c r="B50" s="237" t="n"/>
    </row>
    <row r="51">
      <c r="B51" s="237" t="n"/>
    </row>
    <row r="57">
      <c r="A57" s="20" t="n"/>
      <c r="B57" s="21" t="n"/>
    </row>
    <row r="58">
      <c r="A58" s="20" t="inlineStr">
        <is>
          <t>סה"כ גביה</t>
        </is>
      </c>
      <c r="B58" s="240">
        <f>B48+C48+D48</f>
        <v/>
      </c>
    </row>
    <row r="59">
      <c r="A59" s="20" t="inlineStr">
        <is>
          <t>סה"כ שימוש</t>
        </is>
      </c>
      <c r="B59" s="240">
        <f>B49+C49+D49</f>
        <v/>
      </c>
    </row>
    <row r="60">
      <c r="A60" s="20" t="inlineStr">
        <is>
          <t>באחוזים</t>
        </is>
      </c>
      <c r="B60" s="22">
        <f>B59/B58</f>
        <v/>
      </c>
    </row>
  </sheetData>
  <pageMargins left="0.7" right="0.7" top="0.75" bottom="0.75" header="0.3" footer="0.3"/>
  <pageSetup orientation="landscape" paperSize="9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31"/>
  <sheetViews>
    <sheetView rightToLeft="1" topLeftCell="A35" workbookViewId="0">
      <selection activeCell="M64" sqref="M64"/>
    </sheetView>
  </sheetViews>
  <sheetFormatPr baseColWidth="8" defaultRowHeight="15"/>
  <cols>
    <col width="17.42578125" bestFit="1" customWidth="1" style="197" min="1" max="1"/>
    <col width="21.28515625" bestFit="1" customWidth="1" style="197" min="2" max="2"/>
    <col width="26.5703125" bestFit="1" customWidth="1" style="197" min="6" max="6"/>
    <col width="10.85546875" bestFit="1" customWidth="1" style="197" min="9" max="9"/>
    <col width="9.28515625" bestFit="1" customWidth="1" style="197" min="10" max="10"/>
    <col width="10.42578125" bestFit="1" customWidth="1" style="197" min="18" max="18"/>
    <col width="10.140625" bestFit="1" customWidth="1" style="197" min="19" max="19"/>
  </cols>
  <sheetData>
    <row r="1">
      <c r="A1" s="47" t="n"/>
      <c r="B1" s="47" t="n"/>
      <c r="C1" s="47" t="n"/>
      <c r="D1" s="47" t="n"/>
      <c r="E1" s="47" t="n"/>
      <c r="F1" s="47" t="n"/>
      <c r="G1" s="47" t="n"/>
      <c r="H1" s="47" t="n"/>
      <c r="I1" s="47" t="n"/>
      <c r="J1" s="47" t="n"/>
      <c r="K1" s="47" t="n"/>
      <c r="L1" s="47" t="n"/>
      <c r="M1" s="47" t="n"/>
      <c r="N1" s="47" t="n"/>
      <c r="O1" s="47" t="n"/>
      <c r="P1" s="47" t="n"/>
      <c r="Q1" s="47" t="n"/>
      <c r="R1" s="47" t="n"/>
      <c r="S1" s="47" t="n"/>
      <c r="T1" s="47" t="n"/>
      <c r="U1" s="47" t="n"/>
      <c r="V1" s="47" t="n"/>
    </row>
    <row r="2">
      <c r="A2" s="47" t="n"/>
      <c r="B2" s="47" t="n"/>
      <c r="C2" s="47" t="n"/>
      <c r="D2" s="47" t="n"/>
      <c r="E2" s="47" t="n"/>
      <c r="F2" s="47" t="n"/>
      <c r="G2" s="47" t="n"/>
      <c r="H2" s="47" t="n"/>
      <c r="I2" s="47" t="n"/>
      <c r="J2" s="47" t="n"/>
      <c r="K2" s="47" t="n"/>
      <c r="L2" s="47" t="n"/>
      <c r="M2" s="47" t="n"/>
      <c r="N2" s="47" t="n"/>
      <c r="O2" s="47" t="n"/>
      <c r="P2" s="47" t="n"/>
      <c r="Q2" s="47" t="n"/>
      <c r="R2" s="47" t="n"/>
      <c r="S2" s="47" t="n"/>
      <c r="T2" s="47" t="n"/>
      <c r="U2" s="47" t="n"/>
      <c r="V2" s="47" t="n"/>
    </row>
    <row r="3">
      <c r="A3" s="47" t="n"/>
      <c r="B3" s="47" t="n"/>
      <c r="C3" s="47" t="n"/>
      <c r="D3" s="47" t="n"/>
      <c r="E3" s="47" t="n"/>
      <c r="F3" s="47" t="n"/>
      <c r="G3" s="47" t="n"/>
      <c r="H3" s="47" t="n"/>
      <c r="I3" s="47" t="n"/>
      <c r="J3" s="47" t="n"/>
      <c r="K3" s="47" t="n"/>
      <c r="L3" s="47" t="n"/>
      <c r="M3" s="47" t="n"/>
      <c r="N3" s="47" t="n"/>
      <c r="O3" s="47" t="n"/>
      <c r="P3" s="47" t="n"/>
      <c r="Q3" s="47" t="n"/>
      <c r="R3" s="47" t="n"/>
      <c r="S3" s="47" t="n"/>
      <c r="T3" s="47" t="n"/>
      <c r="U3" s="47" t="n"/>
      <c r="V3" s="47" t="n"/>
    </row>
    <row r="4">
      <c r="A4" s="47" t="n"/>
      <c r="B4" s="47" t="n"/>
      <c r="C4" s="47" t="n"/>
      <c r="D4" s="47" t="n"/>
      <c r="E4" s="47" t="n"/>
      <c r="F4" s="47" t="n"/>
      <c r="G4" s="47" t="n"/>
      <c r="H4" s="47" t="n"/>
      <c r="I4" s="47" t="n"/>
      <c r="J4" s="47" t="n"/>
      <c r="K4" s="47" t="n"/>
      <c r="L4" s="47" t="n"/>
      <c r="M4" s="47" t="n"/>
      <c r="N4" s="47" t="n"/>
      <c r="O4" s="47" t="n"/>
      <c r="P4" s="47" t="n"/>
      <c r="Q4" s="47" t="n"/>
      <c r="R4" s="47" t="n"/>
      <c r="S4" s="47" t="n"/>
      <c r="T4" s="47" t="n"/>
      <c r="U4" s="47" t="n"/>
      <c r="V4" s="47" t="n"/>
    </row>
    <row r="5" ht="15" customHeight="1" s="197">
      <c r="G5" s="47" t="n"/>
      <c r="H5" s="47" t="n"/>
      <c r="I5" s="47" t="n"/>
      <c r="J5" s="47" t="n"/>
      <c r="K5" s="47" t="n"/>
      <c r="L5" s="47" t="n"/>
      <c r="M5" s="47" t="n"/>
      <c r="N5" s="47" t="n"/>
      <c r="O5" s="47" t="n"/>
      <c r="P5" s="47" t="n"/>
      <c r="Q5" s="47" t="n"/>
      <c r="R5" s="47" t="n"/>
      <c r="S5" s="47" t="n"/>
      <c r="T5" s="47" t="n"/>
      <c r="U5" s="47" t="n"/>
      <c r="V5" s="47" t="n"/>
    </row>
    <row r="6">
      <c r="G6" s="47" t="n"/>
      <c r="H6" s="47" t="n"/>
      <c r="I6" s="47" t="n"/>
      <c r="J6" s="47" t="n"/>
      <c r="K6" s="47" t="n"/>
      <c r="L6" s="47" t="n"/>
      <c r="M6" s="47" t="n"/>
      <c r="N6" s="47" t="n"/>
      <c r="O6" s="47" t="n"/>
      <c r="P6" s="47" t="n"/>
      <c r="Q6" s="47" t="n"/>
      <c r="R6" s="47" t="n"/>
      <c r="S6" s="47" t="n"/>
      <c r="T6" s="47" t="n"/>
      <c r="U6" s="47" t="n"/>
      <c r="V6" s="47" t="n"/>
    </row>
    <row r="7">
      <c r="G7" s="47" t="n"/>
      <c r="H7" s="47" t="n"/>
      <c r="I7" s="47" t="n"/>
      <c r="J7" s="47" t="n"/>
      <c r="K7" s="47" t="n"/>
      <c r="L7" s="47" t="n"/>
      <c r="M7" s="47" t="n"/>
      <c r="N7" s="47" t="n"/>
      <c r="O7" s="47" t="n"/>
      <c r="P7" s="47" t="n"/>
      <c r="Q7" s="47" t="n"/>
      <c r="R7" s="47" t="n"/>
      <c r="S7" s="47" t="n"/>
      <c r="T7" s="47" t="n"/>
      <c r="U7" s="47" t="n"/>
      <c r="V7" s="47" t="n"/>
    </row>
    <row r="8">
      <c r="G8" s="49" t="n"/>
      <c r="H8" s="49" t="n"/>
      <c r="I8" s="47" t="n"/>
      <c r="J8" s="47" t="n"/>
      <c r="K8" s="47" t="n"/>
      <c r="L8" s="47" t="n"/>
      <c r="M8" s="47" t="n"/>
      <c r="N8" s="47" t="n"/>
      <c r="O8" s="47" t="n"/>
      <c r="P8" s="47" t="n"/>
      <c r="Q8" s="47" t="n"/>
      <c r="R8" s="47" t="n"/>
      <c r="S8" s="47" t="n"/>
      <c r="T8" s="47" t="n"/>
      <c r="U8" s="47" t="n"/>
      <c r="V8" s="47" t="n"/>
    </row>
    <row r="9">
      <c r="G9" s="49" t="n"/>
      <c r="H9" s="47" t="n"/>
      <c r="I9" s="47" t="n"/>
      <c r="J9" s="47" t="n"/>
      <c r="K9" s="47" t="n"/>
      <c r="L9" s="47" t="n"/>
      <c r="M9" s="47" t="n"/>
      <c r="N9" s="47" t="n"/>
      <c r="O9" s="47" t="n"/>
      <c r="P9" s="47" t="n"/>
      <c r="Q9" s="47" t="n"/>
      <c r="R9" s="47" t="n"/>
      <c r="S9" s="47" t="n"/>
      <c r="T9" s="47" t="n"/>
      <c r="U9" s="47" t="n"/>
      <c r="V9" s="47" t="n"/>
    </row>
    <row r="10">
      <c r="A10" s="47" t="n"/>
      <c r="B10" s="47" t="n"/>
      <c r="C10" s="47" t="n"/>
      <c r="D10" s="47" t="n"/>
      <c r="E10" s="47" t="n"/>
      <c r="F10" s="47" t="n"/>
      <c r="G10" s="47" t="n"/>
      <c r="H10" s="47" t="n"/>
      <c r="I10" s="47" t="n"/>
      <c r="J10" s="47" t="n"/>
      <c r="K10" s="47" t="n"/>
      <c r="L10" s="47" t="n"/>
      <c r="M10" s="47" t="n"/>
      <c r="N10" s="47" t="n"/>
      <c r="O10" s="47" t="n"/>
      <c r="P10" s="47" t="n"/>
      <c r="Q10" s="47" t="n"/>
      <c r="R10" s="47" t="n"/>
      <c r="S10" s="47" t="n"/>
      <c r="T10" s="47" t="n"/>
      <c r="U10" s="47" t="n"/>
      <c r="V10" s="47" t="n"/>
    </row>
    <row r="11">
      <c r="A11" s="47" t="n"/>
      <c r="B11" s="47" t="n"/>
      <c r="C11" s="47" t="n"/>
      <c r="D11" s="47" t="n"/>
      <c r="E11" s="47" t="n"/>
      <c r="F11" s="47" t="n"/>
      <c r="G11" s="47" t="n"/>
      <c r="H11" s="47" t="n"/>
      <c r="I11" s="47" t="n"/>
      <c r="J11" s="47" t="n"/>
      <c r="K11" s="47" t="n"/>
      <c r="L11" s="47" t="n"/>
      <c r="M11" s="47" t="n"/>
      <c r="N11" s="47" t="n"/>
      <c r="O11" s="47" t="n"/>
      <c r="P11" s="47" t="n"/>
      <c r="Q11" s="47" t="n"/>
      <c r="R11" s="47" t="n"/>
      <c r="S11" s="47" t="n"/>
      <c r="T11" s="47" t="n"/>
      <c r="U11" s="47" t="n"/>
      <c r="V11" s="47" t="n"/>
    </row>
    <row r="12" ht="18.75" customHeight="1" s="197">
      <c r="A12" s="211" t="inlineStr">
        <is>
          <t xml:space="preserve"> חוב שנת 2020</t>
        </is>
      </c>
      <c r="B12" s="212" t="n"/>
      <c r="C12" s="212" t="n"/>
      <c r="D12" s="212" t="n"/>
      <c r="E12" s="212" t="n"/>
      <c r="F12" s="212" t="n"/>
      <c r="G12" s="212" t="n"/>
      <c r="H12" s="212" t="n"/>
      <c r="I12" s="213" t="n"/>
      <c r="J12" s="47" t="n"/>
      <c r="K12" s="47" t="n"/>
      <c r="L12" s="47" t="n"/>
      <c r="M12" s="47" t="n"/>
      <c r="N12" s="47" t="n"/>
      <c r="O12" s="47" t="n"/>
      <c r="P12" s="47" t="n"/>
      <c r="Q12" s="47" t="n"/>
      <c r="R12" s="47" t="n"/>
      <c r="S12" s="47" t="n"/>
      <c r="T12" s="47" t="n"/>
      <c r="U12" s="47" t="n"/>
      <c r="V12" s="47" t="n"/>
    </row>
    <row r="13" ht="48.75" customHeight="1" s="197">
      <c r="A13" s="50" t="inlineStr">
        <is>
          <t xml:space="preserve"> דירה</t>
        </is>
      </c>
      <c r="B13" s="51" t="inlineStr">
        <is>
          <t>שם
משפחה</t>
        </is>
      </c>
      <c r="C13" s="52" t="inlineStr">
        <is>
          <t>תשלום
התחלתי
חד פעמי</t>
        </is>
      </c>
      <c r="D13" s="53" t="inlineStr">
        <is>
          <t>יולי</t>
        </is>
      </c>
      <c r="E13" s="53" t="inlineStr">
        <is>
          <t>אוגוסט</t>
        </is>
      </c>
      <c r="F13" s="53" t="inlineStr">
        <is>
          <t>ספטמבר</t>
        </is>
      </c>
      <c r="G13" s="53" t="inlineStr">
        <is>
          <t>אוקטובר</t>
        </is>
      </c>
      <c r="H13" s="54" t="inlineStr">
        <is>
          <t>נובמבר</t>
        </is>
      </c>
      <c r="I13" s="55" t="inlineStr">
        <is>
          <t>דצמבר</t>
        </is>
      </c>
      <c r="J13" s="47" t="n"/>
      <c r="K13" s="47" t="n"/>
      <c r="L13" s="47" t="n"/>
      <c r="M13" s="47" t="n"/>
      <c r="N13" s="47" t="n"/>
      <c r="O13" s="47" t="n"/>
      <c r="P13" s="47" t="n"/>
      <c r="Q13" s="47" t="n"/>
      <c r="R13" s="47" t="n"/>
      <c r="S13" s="47" t="n"/>
      <c r="T13" s="47" t="n"/>
      <c r="U13" s="47" t="n"/>
      <c r="V13" s="47" t="n"/>
    </row>
    <row r="14" ht="15.75" customHeight="1" s="197">
      <c r="A14" s="214" t="n">
        <v>13</v>
      </c>
      <c r="B14" s="217" t="inlineStr">
        <is>
          <t>בכר</t>
        </is>
      </c>
      <c r="C14" s="56" t="inlineStr">
        <is>
          <t>וועד</t>
        </is>
      </c>
      <c r="D14" s="53" t="inlineStr">
        <is>
          <t>וועד</t>
        </is>
      </c>
      <c r="E14" s="53" t="inlineStr">
        <is>
          <t>וועד</t>
        </is>
      </c>
      <c r="F14" s="53" t="inlineStr">
        <is>
          <t>וועד</t>
        </is>
      </c>
      <c r="G14" s="53" t="inlineStr">
        <is>
          <t>וועד</t>
        </is>
      </c>
      <c r="H14" s="57" t="inlineStr">
        <is>
          <t>וועד</t>
        </is>
      </c>
      <c r="I14" s="55" t="inlineStr">
        <is>
          <t>וועד</t>
        </is>
      </c>
      <c r="J14" s="47" t="n"/>
      <c r="K14" s="47" t="n"/>
      <c r="L14" s="47" t="n"/>
      <c r="M14" s="47" t="n"/>
      <c r="N14" s="47" t="n"/>
      <c r="O14" s="47" t="n"/>
      <c r="P14" s="47" t="n"/>
      <c r="Q14" s="47" t="n"/>
      <c r="R14" s="47" t="n"/>
      <c r="S14" s="47" t="n"/>
      <c r="T14" s="47" t="n"/>
      <c r="U14" s="47" t="n"/>
      <c r="V14" s="47" t="n"/>
    </row>
    <row r="15">
      <c r="A15" s="215" t="n"/>
      <c r="B15" s="218" t="n"/>
      <c r="C15" s="58" t="n">
        <v>500</v>
      </c>
      <c r="D15" s="48" t="n">
        <v>320</v>
      </c>
      <c r="E15" s="48" t="n">
        <v>320</v>
      </c>
      <c r="F15" s="48" t="n">
        <v>320</v>
      </c>
      <c r="G15" s="48" t="n">
        <v>320</v>
      </c>
      <c r="H15" s="59" t="n">
        <v>320</v>
      </c>
      <c r="I15" s="60" t="n">
        <v>320</v>
      </c>
      <c r="J15" s="47" t="n"/>
      <c r="K15" s="47" t="n"/>
      <c r="L15" s="47" t="n"/>
      <c r="M15" s="47" t="n"/>
      <c r="N15" s="47" t="n"/>
      <c r="O15" s="47" t="n"/>
      <c r="P15" s="47" t="n"/>
      <c r="Q15" s="47" t="n"/>
      <c r="R15" s="47" t="n"/>
      <c r="S15" s="47" t="n"/>
      <c r="T15" s="47" t="n"/>
      <c r="U15" s="47" t="n"/>
      <c r="V15" s="47" t="n"/>
    </row>
    <row r="16">
      <c r="A16" s="216" t="n"/>
      <c r="B16" s="219" t="n"/>
      <c r="C16" s="50" t="inlineStr">
        <is>
          <t>טרם שולם</t>
        </is>
      </c>
      <c r="D16" s="61" t="inlineStr">
        <is>
          <t>טרם שולם</t>
        </is>
      </c>
      <c r="E16" s="61" t="inlineStr">
        <is>
          <t>טרם שולם</t>
        </is>
      </c>
      <c r="F16" s="61" t="inlineStr">
        <is>
          <t>טרם שולם</t>
        </is>
      </c>
      <c r="G16" s="61" t="inlineStr">
        <is>
          <t>טרם שולם</t>
        </is>
      </c>
      <c r="H16" s="62" t="inlineStr">
        <is>
          <t>טרם שולם</t>
        </is>
      </c>
      <c r="I16" s="63" t="inlineStr">
        <is>
          <t>שולם</t>
        </is>
      </c>
      <c r="J16" s="47" t="n"/>
      <c r="K16" s="47" t="n"/>
      <c r="L16" s="47" t="n"/>
      <c r="M16" s="47" t="n"/>
      <c r="N16" s="47" t="n"/>
      <c r="O16" s="47" t="n"/>
      <c r="P16" s="47" t="n"/>
      <c r="Q16" s="47" t="n"/>
      <c r="R16" s="47" t="n"/>
      <c r="S16" s="47" t="n"/>
      <c r="T16" s="47" t="n"/>
      <c r="U16" s="47" t="n"/>
      <c r="V16" s="47" t="n"/>
    </row>
    <row r="17">
      <c r="A17" s="47" t="n"/>
      <c r="B17" s="47" t="n"/>
      <c r="C17" s="47" t="n"/>
      <c r="D17" s="47" t="n"/>
      <c r="E17" s="47" t="n"/>
      <c r="F17" s="47" t="n"/>
      <c r="G17" s="47" t="n"/>
      <c r="H17" s="47" t="n"/>
      <c r="I17" s="47" t="n"/>
      <c r="J17" s="47" t="n"/>
      <c r="K17" s="47" t="n"/>
      <c r="L17" s="47" t="n"/>
      <c r="M17" s="47" t="n"/>
      <c r="N17" s="47" t="n"/>
      <c r="O17" s="64" t="n"/>
      <c r="P17" s="47" t="n"/>
      <c r="Q17" s="47" t="n"/>
      <c r="R17" s="47" t="n"/>
      <c r="S17" s="47" t="n"/>
      <c r="T17" s="47" t="n"/>
      <c r="U17" s="47" t="n"/>
      <c r="V17" s="47" t="n"/>
    </row>
    <row r="18" ht="18.75" customHeight="1" s="197">
      <c r="A18" s="211" t="inlineStr">
        <is>
          <t>חוב שנת 2021</t>
        </is>
      </c>
      <c r="B18" s="212" t="n"/>
      <c r="C18" s="212" t="n"/>
      <c r="D18" s="212" t="n"/>
      <c r="E18" s="212" t="n"/>
      <c r="F18" s="212" t="n"/>
      <c r="G18" s="212" t="n"/>
      <c r="H18" s="212" t="n"/>
      <c r="I18" s="212" t="n"/>
      <c r="J18" s="212" t="n"/>
      <c r="K18" s="212" t="n"/>
      <c r="L18" s="212" t="n"/>
      <c r="M18" s="212" t="n"/>
      <c r="N18" s="213" t="n"/>
      <c r="O18" s="65" t="inlineStr">
        <is>
          <t xml:space="preserve"> </t>
        </is>
      </c>
      <c r="P18" s="47" t="n"/>
      <c r="Q18" s="47" t="n"/>
      <c r="R18" s="47" t="n"/>
      <c r="S18" s="47" t="n"/>
      <c r="T18" s="47" t="n"/>
      <c r="U18" s="47" t="n"/>
      <c r="V18" s="47" t="n"/>
    </row>
    <row r="19" ht="48.75" customHeight="1" s="197">
      <c r="A19" s="50" t="inlineStr">
        <is>
          <t xml:space="preserve"> דירה</t>
        </is>
      </c>
      <c r="B19" s="66" t="inlineStr">
        <is>
          <t>שם
משפחה</t>
        </is>
      </c>
      <c r="C19" s="55" t="inlineStr">
        <is>
          <t>ינואר</t>
        </is>
      </c>
      <c r="D19" s="67" t="inlineStr">
        <is>
          <t>פברואר</t>
        </is>
      </c>
      <c r="E19" s="55" t="inlineStr">
        <is>
          <t>מרץ</t>
        </is>
      </c>
      <c r="F19" s="67" t="inlineStr">
        <is>
          <t>אפריל</t>
        </is>
      </c>
      <c r="G19" s="55" t="inlineStr">
        <is>
          <t>מאי</t>
        </is>
      </c>
      <c r="H19" s="55" t="inlineStr">
        <is>
          <t>יוני</t>
        </is>
      </c>
      <c r="I19" s="68" t="inlineStr">
        <is>
          <t>יולי</t>
        </is>
      </c>
      <c r="J19" s="53" t="inlineStr">
        <is>
          <t>אוגוסט</t>
        </is>
      </c>
      <c r="K19" s="53" t="inlineStr">
        <is>
          <t>ספטמבר</t>
        </is>
      </c>
      <c r="L19" s="53" t="inlineStr">
        <is>
          <t>אוקטובר</t>
        </is>
      </c>
      <c r="M19" s="53" t="inlineStr">
        <is>
          <t>נובמבר</t>
        </is>
      </c>
      <c r="N19" s="57" t="inlineStr">
        <is>
          <t>דצמבר</t>
        </is>
      </c>
      <c r="O19" s="69" t="inlineStr">
        <is>
          <t>תשלום
לבדיקת
מהנדס</t>
        </is>
      </c>
      <c r="P19" s="47" t="n"/>
      <c r="Q19" s="47" t="n"/>
      <c r="R19" s="47" t="n"/>
      <c r="S19" s="47" t="n"/>
      <c r="T19" s="47" t="n"/>
      <c r="U19" s="47" t="n"/>
      <c r="V19" s="47" t="n"/>
    </row>
    <row r="20" ht="15.75" customHeight="1" s="197">
      <c r="A20" s="214" t="n">
        <v>13</v>
      </c>
      <c r="B20" s="217" t="inlineStr">
        <is>
          <t>בכר</t>
        </is>
      </c>
      <c r="C20" s="55" t="inlineStr">
        <is>
          <t>וועד</t>
        </is>
      </c>
      <c r="D20" s="67" t="inlineStr">
        <is>
          <t>וועד</t>
        </is>
      </c>
      <c r="E20" s="55" t="inlineStr">
        <is>
          <t>וועד</t>
        </is>
      </c>
      <c r="F20" s="67" t="inlineStr">
        <is>
          <t>וועד</t>
        </is>
      </c>
      <c r="G20" s="55" t="inlineStr">
        <is>
          <t>וועד</t>
        </is>
      </c>
      <c r="H20" s="55" t="inlineStr">
        <is>
          <t>וועד</t>
        </is>
      </c>
      <c r="I20" s="68" t="inlineStr">
        <is>
          <t>וועד</t>
        </is>
      </c>
      <c r="J20" s="53" t="inlineStr">
        <is>
          <t>וועד</t>
        </is>
      </c>
      <c r="K20" s="53" t="inlineStr">
        <is>
          <t>וועד</t>
        </is>
      </c>
      <c r="L20" s="53" t="inlineStr">
        <is>
          <t>וועד</t>
        </is>
      </c>
      <c r="M20" s="53" t="inlineStr">
        <is>
          <t>וועד</t>
        </is>
      </c>
      <c r="N20" s="53" t="inlineStr">
        <is>
          <t>וועד</t>
        </is>
      </c>
      <c r="O20" s="57" t="inlineStr">
        <is>
          <t>וועד</t>
        </is>
      </c>
      <c r="P20" s="47" t="n"/>
      <c r="Q20" s="47" t="n"/>
      <c r="R20" s="47" t="n"/>
      <c r="S20" s="47" t="n"/>
      <c r="T20" s="47" t="n"/>
      <c r="U20" s="47" t="n"/>
      <c r="V20" s="47" t="n"/>
    </row>
    <row r="21">
      <c r="A21" s="215" t="n"/>
      <c r="B21" s="218" t="n"/>
      <c r="C21" s="60" t="n">
        <v>320</v>
      </c>
      <c r="D21" s="70" t="n">
        <v>320</v>
      </c>
      <c r="E21" s="60" t="n">
        <v>320</v>
      </c>
      <c r="F21" s="70" t="n">
        <v>320</v>
      </c>
      <c r="G21" s="60" t="n">
        <v>320</v>
      </c>
      <c r="H21" s="60" t="n">
        <v>320</v>
      </c>
      <c r="I21" s="71" t="n">
        <v>320</v>
      </c>
      <c r="J21" s="48" t="n">
        <v>320</v>
      </c>
      <c r="K21" s="48" t="n">
        <v>320</v>
      </c>
      <c r="L21" s="48" t="n">
        <v>320</v>
      </c>
      <c r="M21" s="48" t="n">
        <v>320</v>
      </c>
      <c r="N21" s="48" t="n">
        <v>320</v>
      </c>
      <c r="O21" s="72" t="n">
        <v>200</v>
      </c>
      <c r="P21" s="47" t="n"/>
      <c r="Q21" s="47" t="n"/>
      <c r="R21" s="47" t="n"/>
      <c r="S21" s="47" t="n"/>
      <c r="T21" s="47" t="n"/>
      <c r="U21" s="47" t="n"/>
      <c r="V21" s="47" t="n"/>
    </row>
    <row r="22">
      <c r="A22" s="216" t="n"/>
      <c r="B22" s="219" t="n"/>
      <c r="C22" s="63" t="inlineStr">
        <is>
          <t>שולם</t>
        </is>
      </c>
      <c r="D22" s="73" t="inlineStr">
        <is>
          <t>שולם</t>
        </is>
      </c>
      <c r="E22" s="63" t="inlineStr">
        <is>
          <t>שולם</t>
        </is>
      </c>
      <c r="F22" s="73" t="inlineStr">
        <is>
          <t>שולם</t>
        </is>
      </c>
      <c r="G22" s="63" t="inlineStr">
        <is>
          <t>שולם</t>
        </is>
      </c>
      <c r="H22" s="63" t="inlineStr">
        <is>
          <t>שולם</t>
        </is>
      </c>
      <c r="I22" s="74" t="inlineStr">
        <is>
          <t>טרם שולם</t>
        </is>
      </c>
      <c r="J22" s="61" t="inlineStr">
        <is>
          <t>טרם שולם</t>
        </is>
      </c>
      <c r="K22" s="61" t="inlineStr">
        <is>
          <t>טרם שולם</t>
        </is>
      </c>
      <c r="L22" s="61" t="inlineStr">
        <is>
          <t>טרם שולם</t>
        </is>
      </c>
      <c r="M22" s="61" t="inlineStr">
        <is>
          <t>טרם שולם</t>
        </is>
      </c>
      <c r="N22" s="61" t="inlineStr">
        <is>
          <t>טרם שולם</t>
        </is>
      </c>
      <c r="O22" s="75" t="inlineStr">
        <is>
          <t>טרם שולם</t>
        </is>
      </c>
      <c r="P22" s="47" t="n"/>
      <c r="Q22" s="47" t="n"/>
      <c r="R22" s="47" t="n"/>
      <c r="S22" s="47" t="n"/>
      <c r="T22" s="47" t="n"/>
      <c r="U22" s="47" t="n"/>
      <c r="V22" s="47" t="n"/>
    </row>
    <row r="23">
      <c r="A23" s="47" t="n"/>
      <c r="B23" s="47" t="n"/>
      <c r="C23" s="47" t="n"/>
      <c r="D23" s="47" t="n"/>
      <c r="E23" s="47" t="n"/>
      <c r="F23" s="47" t="n"/>
      <c r="G23" s="47" t="n"/>
      <c r="H23" s="47" t="n"/>
      <c r="I23" s="47" t="n"/>
      <c r="J23" s="47" t="n"/>
      <c r="K23" s="47" t="n"/>
      <c r="L23" s="47" t="n"/>
      <c r="M23" s="47" t="n"/>
      <c r="N23" s="47" t="n"/>
      <c r="O23" s="47" t="n"/>
      <c r="P23" s="47" t="n"/>
      <c r="Q23" s="47" t="n"/>
      <c r="R23" s="47" t="n"/>
      <c r="S23" s="47" t="n"/>
      <c r="T23" s="47" t="n"/>
      <c r="U23" s="47" t="n"/>
      <c r="V23" s="47" t="n"/>
    </row>
    <row r="24" ht="18.75" customHeight="1" s="197">
      <c r="A24" s="211" t="inlineStr">
        <is>
          <t xml:space="preserve"> חוב שנת 2022</t>
        </is>
      </c>
      <c r="B24" s="212" t="n"/>
      <c r="C24" s="212" t="n"/>
      <c r="D24" s="212" t="n"/>
      <c r="E24" s="212" t="n"/>
      <c r="F24" s="212" t="n"/>
      <c r="G24" s="212" t="n"/>
      <c r="H24" s="212" t="n"/>
      <c r="I24" s="212" t="n"/>
      <c r="J24" s="212" t="n"/>
      <c r="K24" s="212" t="n"/>
      <c r="L24" s="212" t="n"/>
      <c r="M24" s="212" t="n"/>
      <c r="N24" s="213" t="n"/>
      <c r="O24" s="47" t="n"/>
      <c r="P24" s="47" t="n"/>
      <c r="Q24" s="47" t="n"/>
      <c r="R24" s="47" t="n"/>
      <c r="S24" s="47" t="n"/>
      <c r="T24" s="47" t="n"/>
      <c r="U24" s="47" t="n"/>
      <c r="V24" s="47" t="n"/>
    </row>
    <row r="25" ht="30.75" customHeight="1" s="197">
      <c r="A25" s="50" t="inlineStr">
        <is>
          <t xml:space="preserve"> דירה</t>
        </is>
      </c>
      <c r="B25" s="51" t="inlineStr">
        <is>
          <t>שם
משפחה</t>
        </is>
      </c>
      <c r="C25" s="68" t="inlineStr">
        <is>
          <t>ינואר</t>
        </is>
      </c>
      <c r="D25" s="53" t="inlineStr">
        <is>
          <t>פברואר</t>
        </is>
      </c>
      <c r="E25" s="53" t="inlineStr">
        <is>
          <t>מרץ</t>
        </is>
      </c>
      <c r="F25" s="53" t="inlineStr">
        <is>
          <t>אפריל</t>
        </is>
      </c>
      <c r="G25" s="53" t="inlineStr">
        <is>
          <t>מאי</t>
        </is>
      </c>
      <c r="H25" s="57" t="inlineStr">
        <is>
          <t>יוני</t>
        </is>
      </c>
      <c r="I25" s="53" t="inlineStr">
        <is>
          <t>יולי</t>
        </is>
      </c>
      <c r="J25" s="53" t="inlineStr">
        <is>
          <t>אוגוסט</t>
        </is>
      </c>
      <c r="K25" s="53" t="inlineStr">
        <is>
          <t>ספטמבר</t>
        </is>
      </c>
      <c r="L25" s="53" t="inlineStr">
        <is>
          <t>אוקטובר</t>
        </is>
      </c>
      <c r="M25" s="53" t="inlineStr">
        <is>
          <t>נובמבר</t>
        </is>
      </c>
      <c r="N25" s="57" t="inlineStr">
        <is>
          <t>דצמבר</t>
        </is>
      </c>
      <c r="O25" s="47" t="n"/>
      <c r="P25" s="47" t="n"/>
      <c r="Q25" s="47" t="n"/>
      <c r="R25" s="47" t="n"/>
      <c r="S25" s="47" t="n"/>
      <c r="T25" s="47" t="n"/>
      <c r="U25" s="47" t="n"/>
      <c r="V25" s="47" t="n"/>
    </row>
    <row r="26" ht="15.75" customHeight="1" s="197">
      <c r="A26" s="214" t="n">
        <v>13</v>
      </c>
      <c r="B26" s="217" t="inlineStr">
        <is>
          <t>בכר</t>
        </is>
      </c>
      <c r="C26" s="68" t="inlineStr">
        <is>
          <t>וועד</t>
        </is>
      </c>
      <c r="D26" s="53" t="inlineStr">
        <is>
          <t>וועד</t>
        </is>
      </c>
      <c r="E26" s="53" t="inlineStr">
        <is>
          <t>וועד</t>
        </is>
      </c>
      <c r="F26" s="53" t="inlineStr">
        <is>
          <t>וועד</t>
        </is>
      </c>
      <c r="G26" s="53" t="inlineStr">
        <is>
          <t>וועד</t>
        </is>
      </c>
      <c r="H26" s="53" t="inlineStr">
        <is>
          <t>וועד</t>
        </is>
      </c>
      <c r="I26" s="76" t="inlineStr">
        <is>
          <t>ממפיס</t>
        </is>
      </c>
      <c r="J26" s="76" t="inlineStr">
        <is>
          <t>ממפיס</t>
        </is>
      </c>
      <c r="K26" s="76" t="inlineStr">
        <is>
          <t>ממפיס</t>
        </is>
      </c>
      <c r="L26" s="76" t="inlineStr">
        <is>
          <t>ממפיס</t>
        </is>
      </c>
      <c r="M26" s="76" t="inlineStr">
        <is>
          <t>ממפיס</t>
        </is>
      </c>
      <c r="N26" s="77" t="inlineStr">
        <is>
          <t>ממפיס</t>
        </is>
      </c>
      <c r="O26" s="47" t="n"/>
      <c r="P26" s="47" t="n"/>
      <c r="Q26" s="47" t="n"/>
      <c r="R26" s="47" t="n"/>
      <c r="S26" s="47" t="n"/>
      <c r="T26" s="47" t="n"/>
      <c r="U26" s="47" t="n"/>
      <c r="V26" s="47" t="n"/>
    </row>
    <row r="27">
      <c r="A27" s="215" t="n"/>
      <c r="B27" s="218" t="n"/>
      <c r="C27" s="71" t="n">
        <v>320</v>
      </c>
      <c r="D27" s="48" t="n">
        <v>320</v>
      </c>
      <c r="E27" s="48" t="n">
        <v>320</v>
      </c>
      <c r="F27" s="48" t="n">
        <v>320</v>
      </c>
      <c r="G27" s="48" t="n">
        <v>320</v>
      </c>
      <c r="H27" s="48" t="n">
        <v>320</v>
      </c>
      <c r="I27" s="78" t="n">
        <v>320</v>
      </c>
      <c r="J27" s="78" t="n">
        <v>320</v>
      </c>
      <c r="K27" s="78" t="n">
        <v>320</v>
      </c>
      <c r="L27" s="78" t="n">
        <v>320</v>
      </c>
      <c r="M27" s="78" t="n">
        <v>320</v>
      </c>
      <c r="N27" s="79" t="n">
        <v>320</v>
      </c>
      <c r="O27" s="47" t="n"/>
      <c r="P27" s="47" t="n"/>
      <c r="Q27" s="47" t="n"/>
      <c r="R27" s="47" t="n"/>
      <c r="S27" s="47" t="n"/>
      <c r="T27" s="47" t="n"/>
      <c r="U27" s="47" t="n"/>
      <c r="V27" s="47" t="n"/>
    </row>
    <row r="28">
      <c r="A28" s="216" t="n"/>
      <c r="B28" s="219" t="n"/>
      <c r="C28" s="74" t="inlineStr">
        <is>
          <t>טרם שולם</t>
        </is>
      </c>
      <c r="D28" s="61" t="inlineStr">
        <is>
          <t>טרם שולם</t>
        </is>
      </c>
      <c r="E28" s="61" t="inlineStr">
        <is>
          <t>טרם שולם</t>
        </is>
      </c>
      <c r="F28" s="61" t="inlineStr">
        <is>
          <t>טרם שולם</t>
        </is>
      </c>
      <c r="G28" s="61" t="inlineStr">
        <is>
          <t>טרם שולם</t>
        </is>
      </c>
      <c r="H28" s="61" t="inlineStr">
        <is>
          <t>טרם שולם</t>
        </is>
      </c>
      <c r="I28" s="80" t="inlineStr">
        <is>
          <t>טרם שולם</t>
        </is>
      </c>
      <c r="J28" s="80" t="inlineStr">
        <is>
          <t>טרם שולם</t>
        </is>
      </c>
      <c r="K28" s="80" t="inlineStr">
        <is>
          <t>טרם שולם</t>
        </is>
      </c>
      <c r="L28" s="80" t="inlineStr">
        <is>
          <t>טרם שולם</t>
        </is>
      </c>
      <c r="M28" s="80" t="inlineStr">
        <is>
          <t>טרם שולם</t>
        </is>
      </c>
      <c r="N28" s="81" t="inlineStr">
        <is>
          <t>טרם שולם</t>
        </is>
      </c>
      <c r="O28" s="47" t="n"/>
      <c r="P28" s="47" t="n"/>
      <c r="Q28" s="47" t="n"/>
      <c r="R28" s="47" t="n"/>
      <c r="S28" s="47" t="n"/>
      <c r="T28" s="47" t="n"/>
      <c r="U28" s="47" t="n"/>
      <c r="V28" s="47" t="n"/>
    </row>
    <row r="29">
      <c r="A29" s="47" t="n"/>
      <c r="B29" s="47" t="n"/>
      <c r="C29" s="47" t="n"/>
      <c r="D29" s="47" t="n"/>
      <c r="E29" s="47" t="n"/>
      <c r="F29" s="47" t="n"/>
      <c r="G29" s="47" t="n"/>
      <c r="H29" s="47" t="n"/>
      <c r="I29" s="47" t="n"/>
      <c r="J29" s="47" t="n"/>
      <c r="K29" s="47" t="n"/>
      <c r="L29" s="47" t="n"/>
      <c r="M29" s="47" t="n"/>
      <c r="N29" s="47" t="n"/>
      <c r="O29" s="47" t="n"/>
      <c r="P29" s="47" t="n"/>
      <c r="Q29" s="47" t="n"/>
      <c r="R29" s="47" t="n"/>
      <c r="S29" s="47" t="n"/>
      <c r="T29" s="47" t="n"/>
      <c r="U29" s="47" t="n"/>
      <c r="V29" s="47" t="n"/>
    </row>
    <row r="30" ht="18.75" customHeight="1" s="197">
      <c r="A30" s="211" t="inlineStr">
        <is>
          <t xml:space="preserve">חוב שנת 2023 </t>
        </is>
      </c>
      <c r="B30" s="212" t="n"/>
      <c r="C30" s="212" t="n"/>
      <c r="D30" s="212" t="n"/>
      <c r="E30" s="212" t="n"/>
      <c r="F30" s="212" t="n"/>
      <c r="G30" s="212" t="n"/>
      <c r="H30" s="212" t="n"/>
      <c r="I30" s="212" t="n"/>
      <c r="J30" s="212" t="n"/>
      <c r="K30" s="212" t="n"/>
      <c r="L30" s="212" t="n"/>
      <c r="M30" s="212" t="n"/>
      <c r="N30" s="213" t="n"/>
      <c r="O30" s="47" t="n"/>
      <c r="P30" s="47" t="n"/>
      <c r="Q30" s="47" t="n"/>
      <c r="R30" s="47" t="n"/>
      <c r="S30" s="47" t="n"/>
      <c r="T30" s="47" t="n"/>
      <c r="U30" s="47" t="n"/>
      <c r="V30" s="47" t="n"/>
    </row>
    <row r="31" ht="30.75" customHeight="1" s="197">
      <c r="A31" s="50" t="inlineStr">
        <is>
          <t xml:space="preserve"> דירה</t>
        </is>
      </c>
      <c r="B31" s="51" t="inlineStr">
        <is>
          <t>שם
משפחה</t>
        </is>
      </c>
      <c r="C31" s="68" t="inlineStr">
        <is>
          <t>ינואר</t>
        </is>
      </c>
      <c r="D31" s="53" t="inlineStr">
        <is>
          <t>פברואר</t>
        </is>
      </c>
      <c r="E31" s="53" t="inlineStr">
        <is>
          <t>מרץ</t>
        </is>
      </c>
      <c r="F31" s="53" t="inlineStr">
        <is>
          <t>אפריל</t>
        </is>
      </c>
      <c r="G31" s="53" t="inlineStr">
        <is>
          <t>מאי</t>
        </is>
      </c>
      <c r="H31" s="57" t="inlineStr">
        <is>
          <t>יוני</t>
        </is>
      </c>
      <c r="I31" s="53" t="inlineStr">
        <is>
          <t>יולי</t>
        </is>
      </c>
      <c r="J31" s="53" t="inlineStr">
        <is>
          <t>אוגוסט</t>
        </is>
      </c>
      <c r="K31" s="53" t="inlineStr">
        <is>
          <t>ספטמבר</t>
        </is>
      </c>
      <c r="L31" s="53" t="inlineStr">
        <is>
          <t>אוקטובר</t>
        </is>
      </c>
      <c r="M31" s="53" t="inlineStr">
        <is>
          <t>נובמבר</t>
        </is>
      </c>
      <c r="N31" s="57" t="inlineStr">
        <is>
          <t>דצמבר</t>
        </is>
      </c>
      <c r="O31" s="47" t="n"/>
      <c r="P31" s="47" t="n"/>
      <c r="Q31" s="47" t="n"/>
      <c r="R31" s="47" t="n"/>
      <c r="S31" s="47" t="n"/>
      <c r="T31" s="47" t="n"/>
      <c r="U31" s="47" t="n"/>
      <c r="V31" s="47" t="n"/>
    </row>
    <row r="32" ht="15.75" customHeight="1" s="197">
      <c r="A32" s="214" t="n">
        <v>13</v>
      </c>
      <c r="B32" s="217" t="inlineStr">
        <is>
          <t>בכר</t>
        </is>
      </c>
      <c r="C32" s="82" t="inlineStr">
        <is>
          <t>ממפיס</t>
        </is>
      </c>
      <c r="D32" s="76" t="inlineStr">
        <is>
          <t>ממפיס</t>
        </is>
      </c>
      <c r="E32" s="76" t="inlineStr">
        <is>
          <t>ממפיס</t>
        </is>
      </c>
      <c r="F32" s="76" t="inlineStr">
        <is>
          <t>ממפיס</t>
        </is>
      </c>
      <c r="G32" s="76" t="inlineStr">
        <is>
          <t>ממפיס</t>
        </is>
      </c>
      <c r="H32" s="76" t="inlineStr">
        <is>
          <t>ממפיס</t>
        </is>
      </c>
      <c r="I32" s="76" t="inlineStr">
        <is>
          <t>ממפיס</t>
        </is>
      </c>
      <c r="J32" s="76" t="inlineStr">
        <is>
          <t>ממפיס</t>
        </is>
      </c>
      <c r="K32" s="76" t="inlineStr">
        <is>
          <t>ממפיס</t>
        </is>
      </c>
      <c r="L32" s="76" t="inlineStr">
        <is>
          <t>ממפיס</t>
        </is>
      </c>
      <c r="M32" s="55" t="inlineStr">
        <is>
          <t>וועד</t>
        </is>
      </c>
      <c r="N32" s="55" t="inlineStr">
        <is>
          <t>וועד</t>
        </is>
      </c>
      <c r="O32" s="47" t="n"/>
      <c r="P32" s="47" t="n"/>
      <c r="Q32" s="47" t="n"/>
      <c r="R32" s="47" t="n"/>
      <c r="S32" s="47" t="n"/>
      <c r="T32" s="47" t="n"/>
      <c r="U32" s="47" t="n"/>
      <c r="V32" s="47" t="n"/>
    </row>
    <row r="33">
      <c r="A33" s="215" t="n"/>
      <c r="B33" s="218" t="n"/>
      <c r="C33" s="83" t="n">
        <v>320</v>
      </c>
      <c r="D33" s="78" t="n">
        <v>320</v>
      </c>
      <c r="E33" s="78" t="n">
        <v>320</v>
      </c>
      <c r="F33" s="78" t="n">
        <v>320</v>
      </c>
      <c r="G33" s="78" t="n">
        <v>320</v>
      </c>
      <c r="H33" s="78" t="n">
        <v>320</v>
      </c>
      <c r="I33" s="78" t="n">
        <v>320</v>
      </c>
      <c r="J33" s="78" t="n">
        <v>320</v>
      </c>
      <c r="K33" s="78" t="n">
        <v>320</v>
      </c>
      <c r="L33" s="78" t="n">
        <v>320</v>
      </c>
      <c r="M33" s="60" t="n">
        <v>320</v>
      </c>
      <c r="N33" s="60" t="n">
        <v>320</v>
      </c>
      <c r="O33" s="47" t="n"/>
      <c r="P33" s="47" t="n"/>
      <c r="Q33" s="47" t="n"/>
      <c r="R33" s="47" t="n"/>
      <c r="S33" s="47" t="n"/>
      <c r="T33" s="47" t="n"/>
      <c r="U33" s="47" t="n"/>
      <c r="V33" s="47" t="n"/>
    </row>
    <row r="34">
      <c r="A34" s="216" t="n"/>
      <c r="B34" s="219" t="n"/>
      <c r="C34" s="84" t="inlineStr">
        <is>
          <t>טרם שולם</t>
        </is>
      </c>
      <c r="D34" s="80" t="inlineStr">
        <is>
          <t>טרם שולם</t>
        </is>
      </c>
      <c r="E34" s="80" t="inlineStr">
        <is>
          <t>טרם שולם</t>
        </is>
      </c>
      <c r="F34" s="80" t="inlineStr">
        <is>
          <t>טרם שולם</t>
        </is>
      </c>
      <c r="G34" s="80" t="inlineStr">
        <is>
          <t>טרם שולם</t>
        </is>
      </c>
      <c r="H34" s="80" t="inlineStr">
        <is>
          <t>טרם שולם</t>
        </is>
      </c>
      <c r="I34" s="80" t="inlineStr">
        <is>
          <t>טרם שולם</t>
        </is>
      </c>
      <c r="J34" s="80" t="inlineStr">
        <is>
          <t>טרם שולם</t>
        </is>
      </c>
      <c r="K34" s="80" t="inlineStr">
        <is>
          <t>טרם שולם</t>
        </is>
      </c>
      <c r="L34" s="80" t="inlineStr">
        <is>
          <t>טרם שולם</t>
        </is>
      </c>
      <c r="M34" s="63" t="inlineStr">
        <is>
          <t>שולם</t>
        </is>
      </c>
      <c r="N34" s="63" t="inlineStr">
        <is>
          <t>שולם</t>
        </is>
      </c>
      <c r="O34" s="47" t="n"/>
      <c r="P34" s="47" t="n"/>
      <c r="Q34" s="47" t="n"/>
      <c r="R34" s="47" t="n"/>
      <c r="S34" s="47" t="n"/>
      <c r="T34" s="47" t="n"/>
      <c r="U34" s="47" t="n"/>
      <c r="V34" s="47" t="n"/>
    </row>
    <row r="35">
      <c r="A35" s="47" t="n"/>
      <c r="B35" s="47" t="n"/>
      <c r="C35" s="47" t="n"/>
      <c r="D35" s="47" t="n"/>
      <c r="E35" s="47" t="n"/>
      <c r="F35" s="47" t="n"/>
      <c r="G35" s="47" t="n"/>
      <c r="H35" s="47" t="n"/>
      <c r="I35" s="47" t="n"/>
      <c r="J35" s="47" t="n"/>
      <c r="K35" s="47" t="n"/>
      <c r="L35" s="47" t="n"/>
      <c r="M35" s="47" t="n"/>
      <c r="N35" s="47" t="n"/>
      <c r="O35" s="47" t="n"/>
      <c r="P35" s="47" t="n"/>
      <c r="Q35" s="47" t="n"/>
      <c r="R35" s="47" t="n"/>
      <c r="S35" s="47" t="n"/>
      <c r="T35" s="47" t="n"/>
      <c r="U35" s="47" t="n"/>
      <c r="V35" s="47" t="n"/>
    </row>
    <row r="36" ht="18.75" customHeight="1" s="197">
      <c r="A36" s="211" t="inlineStr">
        <is>
          <t xml:space="preserve">שנת 2024 </t>
        </is>
      </c>
      <c r="B36" s="212" t="n"/>
      <c r="C36" s="212" t="n"/>
      <c r="D36" s="212" t="n"/>
      <c r="E36" s="212" t="n"/>
      <c r="F36" s="212" t="n"/>
      <c r="G36" s="212" t="n"/>
      <c r="H36" s="212" t="n"/>
      <c r="I36" s="212" t="n"/>
      <c r="J36" s="212" t="n"/>
      <c r="K36" s="212" t="n"/>
      <c r="L36" s="212" t="n"/>
      <c r="M36" s="212" t="n"/>
      <c r="N36" s="213" t="n"/>
      <c r="O36" s="47" t="n"/>
      <c r="P36" s="47" t="n"/>
      <c r="Q36" s="47" t="n"/>
      <c r="R36" s="47" t="n"/>
      <c r="S36" s="47" t="n"/>
      <c r="T36" s="47" t="n"/>
      <c r="U36" s="47" t="n"/>
      <c r="V36" s="47" t="n"/>
    </row>
    <row r="37" ht="48.75" customHeight="1" s="197">
      <c r="A37" s="50" t="inlineStr">
        <is>
          <t xml:space="preserve"> דירה</t>
        </is>
      </c>
      <c r="B37" s="51" t="inlineStr">
        <is>
          <t>שם
משפחה</t>
        </is>
      </c>
      <c r="C37" s="68" t="inlineStr">
        <is>
          <t>ינואר</t>
        </is>
      </c>
      <c r="D37" s="53" t="inlineStr">
        <is>
          <t>פברואר</t>
        </is>
      </c>
      <c r="E37" s="53" t="inlineStr">
        <is>
          <t>מרץ</t>
        </is>
      </c>
      <c r="F37" s="53" t="inlineStr">
        <is>
          <t>אפריל</t>
        </is>
      </c>
      <c r="G37" s="53" t="inlineStr">
        <is>
          <t>מאי</t>
        </is>
      </c>
      <c r="H37" s="57" t="inlineStr">
        <is>
          <t>יוני</t>
        </is>
      </c>
      <c r="I37" s="53" t="inlineStr">
        <is>
          <t>יולי</t>
        </is>
      </c>
      <c r="J37" s="53" t="inlineStr">
        <is>
          <t>אוגוסט</t>
        </is>
      </c>
      <c r="K37" s="53" t="inlineStr">
        <is>
          <t>ספטמבר</t>
        </is>
      </c>
      <c r="L37" s="53" t="inlineStr">
        <is>
          <t>אוקטובר</t>
        </is>
      </c>
      <c r="M37" s="53" t="inlineStr">
        <is>
          <t>נובמבר</t>
        </is>
      </c>
      <c r="N37" s="57" t="inlineStr">
        <is>
          <t>דצמבר</t>
        </is>
      </c>
      <c r="O37" s="69" t="inlineStr">
        <is>
          <t>תשלום
קופה קטנה</t>
        </is>
      </c>
      <c r="P37" s="47" t="n"/>
      <c r="Q37" s="47" t="n"/>
      <c r="R37" s="47" t="n"/>
      <c r="S37" s="47" t="n"/>
      <c r="T37" s="47" t="n"/>
      <c r="U37" s="47" t="n"/>
      <c r="V37" s="47" t="n"/>
    </row>
    <row r="38" ht="15.75" customHeight="1" s="197">
      <c r="A38" s="214" t="n">
        <v>13</v>
      </c>
      <c r="B38" s="217" t="inlineStr">
        <is>
          <t>בכר</t>
        </is>
      </c>
      <c r="C38" s="55" t="inlineStr">
        <is>
          <t>וועד</t>
        </is>
      </c>
      <c r="D38" s="55" t="inlineStr">
        <is>
          <t>וועד</t>
        </is>
      </c>
      <c r="E38" s="55" t="inlineStr">
        <is>
          <t>וועד</t>
        </is>
      </c>
      <c r="F38" s="55" t="inlineStr">
        <is>
          <t>וועד</t>
        </is>
      </c>
      <c r="G38" s="55" t="inlineStr">
        <is>
          <t>וועד</t>
        </is>
      </c>
      <c r="H38" s="55" t="inlineStr">
        <is>
          <t>וועד</t>
        </is>
      </c>
      <c r="I38" s="55" t="inlineStr">
        <is>
          <t>וועד</t>
        </is>
      </c>
      <c r="J38" s="55" t="inlineStr">
        <is>
          <t>וועד</t>
        </is>
      </c>
      <c r="K38" s="55" t="inlineStr">
        <is>
          <t>וועד</t>
        </is>
      </c>
      <c r="L38" s="55" t="inlineStr">
        <is>
          <t>וועד</t>
        </is>
      </c>
      <c r="M38" s="55" t="inlineStr">
        <is>
          <t>וועד</t>
        </is>
      </c>
      <c r="N38" s="55" t="inlineStr">
        <is>
          <t>וועד</t>
        </is>
      </c>
      <c r="O38" s="55" t="inlineStr">
        <is>
          <t>וועד</t>
        </is>
      </c>
      <c r="P38" s="47" t="n"/>
      <c r="Q38" s="47" t="n"/>
      <c r="R38" s="47" t="n"/>
      <c r="S38" s="47" t="n"/>
      <c r="T38" s="47" t="n"/>
      <c r="U38" s="47" t="n"/>
      <c r="V38" s="47" t="n"/>
    </row>
    <row r="39">
      <c r="A39" s="215" t="n"/>
      <c r="B39" s="218" t="n"/>
      <c r="C39" s="60" t="n">
        <v>320</v>
      </c>
      <c r="D39" s="60" t="n">
        <v>320</v>
      </c>
      <c r="E39" s="60" t="n">
        <v>320</v>
      </c>
      <c r="F39" s="60" t="n">
        <v>320</v>
      </c>
      <c r="G39" s="60" t="n">
        <v>320</v>
      </c>
      <c r="H39" s="60" t="n">
        <v>320</v>
      </c>
      <c r="I39" s="60" t="n">
        <v>320</v>
      </c>
      <c r="J39" s="60" t="n">
        <v>320</v>
      </c>
      <c r="K39" s="60" t="n">
        <v>320</v>
      </c>
      <c r="L39" s="60" t="n">
        <v>320</v>
      </c>
      <c r="M39" s="60" t="n">
        <v>320</v>
      </c>
      <c r="N39" s="60" t="n">
        <v>320</v>
      </c>
      <c r="O39" s="60" t="n">
        <v>320</v>
      </c>
      <c r="P39" s="47" t="n"/>
      <c r="Q39" s="47" t="n"/>
      <c r="R39" s="47" t="n"/>
      <c r="S39" s="47" t="n"/>
      <c r="T39" s="47" t="n"/>
      <c r="U39" s="47" t="n"/>
      <c r="V39" s="47" t="n"/>
    </row>
    <row r="40">
      <c r="A40" s="216" t="n"/>
      <c r="B40" s="219" t="n"/>
      <c r="C40" s="63" t="inlineStr">
        <is>
          <t>שולם</t>
        </is>
      </c>
      <c r="D40" s="63" t="inlineStr">
        <is>
          <t>שולם</t>
        </is>
      </c>
      <c r="E40" s="63" t="inlineStr">
        <is>
          <t>שולם</t>
        </is>
      </c>
      <c r="F40" s="63" t="inlineStr">
        <is>
          <t>שולם</t>
        </is>
      </c>
      <c r="G40" s="63" t="inlineStr">
        <is>
          <t>שולם</t>
        </is>
      </c>
      <c r="H40" s="63" t="inlineStr">
        <is>
          <t>שולם</t>
        </is>
      </c>
      <c r="I40" s="63" t="inlineStr">
        <is>
          <t>שולם</t>
        </is>
      </c>
      <c r="J40" s="63" t="inlineStr">
        <is>
          <t>שולם</t>
        </is>
      </c>
      <c r="K40" s="63" t="inlineStr">
        <is>
          <t>שולם</t>
        </is>
      </c>
      <c r="L40" s="63" t="inlineStr">
        <is>
          <t>שולם</t>
        </is>
      </c>
      <c r="M40" s="63" t="inlineStr">
        <is>
          <t>שולם</t>
        </is>
      </c>
      <c r="N40" s="63" t="inlineStr">
        <is>
          <t>שולם</t>
        </is>
      </c>
      <c r="O40" s="63" t="inlineStr">
        <is>
          <t>שולם</t>
        </is>
      </c>
      <c r="P40" s="47" t="n"/>
      <c r="Q40" s="47" t="n"/>
      <c r="R40" s="47" t="n"/>
      <c r="S40" s="47" t="n"/>
      <c r="T40" s="47" t="n"/>
      <c r="U40" s="47" t="n"/>
      <c r="V40" s="47" t="n"/>
    </row>
    <row r="41">
      <c r="A41" s="47" t="n"/>
      <c r="B41" s="47" t="n"/>
      <c r="C41" s="47" t="n"/>
      <c r="D41" s="47" t="n"/>
      <c r="E41" s="47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47" t="n"/>
      <c r="O41" s="47" t="n"/>
      <c r="P41" s="47" t="n"/>
      <c r="Q41" s="47" t="n"/>
      <c r="R41" s="47" t="n"/>
      <c r="S41" s="47" t="n"/>
      <c r="T41" s="47" t="n"/>
      <c r="U41" s="47" t="n"/>
      <c r="V41" s="47" t="n"/>
    </row>
    <row r="42">
      <c r="A42" s="47" t="n"/>
      <c r="B42" s="47" t="n"/>
      <c r="C42" s="220" t="inlineStr">
        <is>
          <t>סיכום</t>
        </is>
      </c>
      <c r="D42" s="212" t="n"/>
      <c r="E42" s="212" t="n"/>
      <c r="F42" s="212" t="n"/>
      <c r="G42" s="212" t="n"/>
      <c r="H42" s="213" t="n"/>
      <c r="I42" s="47" t="n"/>
      <c r="J42" s="47" t="n"/>
      <c r="K42" s="47" t="n"/>
      <c r="L42" s="47" t="n"/>
      <c r="M42" s="47" t="n"/>
      <c r="N42" s="47" t="n"/>
      <c r="O42" s="47" t="n"/>
      <c r="P42" s="47" t="n"/>
      <c r="Q42" s="47" t="n"/>
      <c r="R42" s="47" t="n"/>
      <c r="S42" s="47" t="n"/>
      <c r="T42" s="47" t="n"/>
      <c r="U42" s="47" t="n"/>
      <c r="V42" s="47" t="n"/>
    </row>
    <row r="43" ht="30.75" customHeight="1" s="197">
      <c r="A43" s="47" t="n"/>
      <c r="B43" s="47" t="n"/>
      <c r="C43" s="85" t="inlineStr">
        <is>
          <t xml:space="preserve"> </t>
        </is>
      </c>
      <c r="D43" s="86" t="inlineStr">
        <is>
          <t>שנת
2020</t>
        </is>
      </c>
      <c r="E43" s="86" t="inlineStr">
        <is>
          <t>שנת
2021</t>
        </is>
      </c>
      <c r="F43" s="86" t="inlineStr">
        <is>
          <t>שנת
 2022</t>
        </is>
      </c>
      <c r="G43" s="87" t="inlineStr">
        <is>
          <t>שנת
 2023</t>
        </is>
      </c>
      <c r="H43" s="87" t="inlineStr">
        <is>
          <t>שנת
 2024</t>
        </is>
      </c>
      <c r="I43" s="88" t="inlineStr">
        <is>
          <t>סה"כ</t>
        </is>
      </c>
      <c r="J43" s="89" t="inlineStr">
        <is>
          <t>ינואר 24</t>
        </is>
      </c>
      <c r="K43" s="89" t="inlineStr">
        <is>
          <t>פברואר 24</t>
        </is>
      </c>
      <c r="L43" s="89" t="inlineStr">
        <is>
          <t>מרץ 24</t>
        </is>
      </c>
      <c r="M43" s="89" t="inlineStr">
        <is>
          <t>אפריל 24</t>
        </is>
      </c>
      <c r="N43" s="89" t="inlineStr">
        <is>
          <t>מאי 24</t>
        </is>
      </c>
      <c r="O43" s="89" t="inlineStr">
        <is>
          <t>יוני 24</t>
        </is>
      </c>
      <c r="P43" s="89" t="inlineStr">
        <is>
          <t>יולי 24</t>
        </is>
      </c>
      <c r="Q43" s="89" t="inlineStr">
        <is>
          <t>אוגוסט 24</t>
        </is>
      </c>
      <c r="R43" s="90" t="inlineStr">
        <is>
          <t>ספטמבר 24</t>
        </is>
      </c>
      <c r="S43" s="90" t="inlineStr">
        <is>
          <t>אוקטובר 24</t>
        </is>
      </c>
      <c r="T43" s="89" t="inlineStr">
        <is>
          <t>נובמבר 24</t>
        </is>
      </c>
      <c r="U43" s="89" t="inlineStr">
        <is>
          <t>דצמבר 24</t>
        </is>
      </c>
      <c r="V43" s="47" t="n"/>
    </row>
    <row r="44">
      <c r="A44" s="47" t="n"/>
      <c r="B44" s="47" t="n"/>
      <c r="C44" s="91" t="inlineStr">
        <is>
          <t>וועד</t>
        </is>
      </c>
      <c r="D44" s="93" t="n">
        <v>2100</v>
      </c>
      <c r="E44" s="93" t="n">
        <v>2120</v>
      </c>
      <c r="F44" s="94" t="n">
        <v>1920</v>
      </c>
      <c r="G44" s="92" t="n">
        <v>0</v>
      </c>
      <c r="H44" s="95" t="n">
        <v>500</v>
      </c>
      <c r="I44" s="96">
        <f>SUM(D44:H44)</f>
        <v/>
      </c>
      <c r="J44" s="48" t="inlineStr">
        <is>
          <t xml:space="preserve"> </t>
        </is>
      </c>
      <c r="K44" s="97" t="n">
        <v>500</v>
      </c>
      <c r="L44" s="48" t="inlineStr">
        <is>
          <t xml:space="preserve"> </t>
        </is>
      </c>
      <c r="M44" s="48" t="inlineStr">
        <is>
          <t xml:space="preserve"> </t>
        </is>
      </c>
      <c r="N44" s="48" t="inlineStr">
        <is>
          <t xml:space="preserve"> </t>
        </is>
      </c>
      <c r="O44" s="48" t="inlineStr">
        <is>
          <t xml:space="preserve"> </t>
        </is>
      </c>
      <c r="P44" s="48" t="inlineStr">
        <is>
          <t xml:space="preserve"> </t>
        </is>
      </c>
      <c r="Q44" s="48" t="inlineStr">
        <is>
          <t xml:space="preserve"> </t>
        </is>
      </c>
      <c r="R44" s="97" t="n">
        <v>670</v>
      </c>
      <c r="S44" s="97" t="n">
        <v>1340</v>
      </c>
      <c r="T44" s="97" t="n">
        <v>670</v>
      </c>
      <c r="U44" s="48" t="inlineStr">
        <is>
          <t xml:space="preserve"> </t>
        </is>
      </c>
      <c r="V44" s="47" t="n"/>
    </row>
    <row r="45">
      <c r="A45" s="47" t="n"/>
      <c r="B45" s="47" t="n"/>
      <c r="C45" s="98" t="inlineStr">
        <is>
          <t>ממפיס</t>
        </is>
      </c>
      <c r="D45" s="99" t="inlineStr">
        <is>
          <t xml:space="preserve"> </t>
        </is>
      </c>
      <c r="E45" s="99" t="inlineStr">
        <is>
          <t xml:space="preserve"> </t>
        </is>
      </c>
      <c r="F45" s="100" t="n">
        <v>1920</v>
      </c>
      <c r="G45" s="102" t="n">
        <v>3200</v>
      </c>
      <c r="H45" s="101" t="inlineStr">
        <is>
          <t xml:space="preserve"> </t>
        </is>
      </c>
      <c r="I45" s="96">
        <f>SUM(D45:H45)</f>
        <v/>
      </c>
      <c r="J45" s="47" t="n"/>
      <c r="K45" s="47" t="n"/>
      <c r="L45" s="47" t="n"/>
      <c r="M45" s="47" t="n"/>
      <c r="N45" s="47" t="n"/>
      <c r="O45" s="47" t="n"/>
      <c r="P45" s="47" t="n"/>
      <c r="Q45" s="47" t="n"/>
      <c r="R45" s="47" t="n"/>
      <c r="S45" s="47" t="n"/>
      <c r="T45" s="47" t="n"/>
      <c r="U45" s="47" t="n"/>
      <c r="V45" s="47" t="n"/>
    </row>
    <row r="46">
      <c r="A46" s="47" t="n"/>
      <c r="B46" s="47" t="n"/>
      <c r="C46" s="91" t="inlineStr">
        <is>
          <t>סה"כ</t>
        </is>
      </c>
      <c r="D46" s="103" t="n">
        <v>2100</v>
      </c>
      <c r="E46" s="103" t="n">
        <v>2120</v>
      </c>
      <c r="F46" s="103" t="n">
        <v>3840</v>
      </c>
      <c r="G46" s="105" t="n">
        <v>3200</v>
      </c>
      <c r="H46" s="104" t="n">
        <v>500</v>
      </c>
      <c r="I46" s="96">
        <f>SUM(D46:H46)</f>
        <v/>
      </c>
      <c r="J46" s="47" t="n"/>
      <c r="K46" s="47" t="n"/>
      <c r="L46" s="47" t="n"/>
      <c r="M46" s="47" t="n"/>
      <c r="N46" s="47" t="n"/>
      <c r="O46" s="47" t="n"/>
      <c r="P46" s="47" t="n"/>
      <c r="Q46" s="47" t="n"/>
      <c r="R46" s="47" t="n"/>
      <c r="S46" s="47" t="n"/>
      <c r="T46" s="47" t="n"/>
      <c r="U46" s="47" t="n"/>
      <c r="V46" s="47" t="n"/>
    </row>
    <row r="47">
      <c r="A47" s="47" t="n"/>
      <c r="B47" s="47" t="n"/>
      <c r="C47" s="106" t="inlineStr">
        <is>
          <t>שולם</t>
        </is>
      </c>
      <c r="D47" s="107" t="inlineStr">
        <is>
          <t xml:space="preserve"> </t>
        </is>
      </c>
      <c r="E47" s="108" t="inlineStr">
        <is>
          <t xml:space="preserve"> </t>
        </is>
      </c>
      <c r="F47" s="109" t="inlineStr">
        <is>
          <t xml:space="preserve"> </t>
        </is>
      </c>
      <c r="G47" s="108" t="inlineStr">
        <is>
          <t xml:space="preserve"> </t>
        </is>
      </c>
      <c r="H47" s="110" t="n">
        <v>2510</v>
      </c>
      <c r="I47" s="47" t="n"/>
      <c r="J47" s="47" t="n"/>
      <c r="K47" s="47" t="n"/>
      <c r="L47" s="47" t="n"/>
      <c r="M47" s="47" t="n"/>
      <c r="N47" s="47" t="n"/>
      <c r="O47" s="47" t="n"/>
      <c r="P47" s="47" t="n"/>
      <c r="Q47" s="47" t="n"/>
      <c r="R47" s="47" t="n"/>
      <c r="S47" s="47" t="n"/>
      <c r="T47" s="47" t="n"/>
      <c r="U47" s="47" t="n"/>
      <c r="V47" s="47" t="n"/>
    </row>
    <row r="48">
      <c r="A48" s="47" t="n"/>
      <c r="B48" s="47" t="n"/>
      <c r="C48" s="47" t="n"/>
      <c r="D48" s="47" t="n"/>
      <c r="E48" s="47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47" t="n"/>
      <c r="O48" s="47" t="n"/>
      <c r="P48" s="47" t="n"/>
      <c r="Q48" s="47" t="n"/>
      <c r="R48" s="47" t="n"/>
      <c r="S48" s="47" t="n"/>
      <c r="T48" s="47" t="n"/>
      <c r="U48" s="47" t="n"/>
      <c r="V48" s="47" t="n"/>
    </row>
    <row r="49" ht="30.75" customHeight="1" s="197">
      <c r="A49" s="47" t="n"/>
      <c r="B49" s="111" t="inlineStr">
        <is>
          <t xml:space="preserve"> </t>
        </is>
      </c>
      <c r="C49" s="112" t="inlineStr">
        <is>
          <t>שולם</t>
        </is>
      </c>
      <c r="D49" s="47" t="n"/>
      <c r="E49" s="47" t="n"/>
      <c r="F49" s="47" t="n"/>
      <c r="G49" s="47" t="n"/>
      <c r="H49" s="47" t="n"/>
      <c r="I49" s="47" t="n"/>
      <c r="J49" s="89" t="inlineStr">
        <is>
          <t>ינואר 25</t>
        </is>
      </c>
      <c r="K49" s="89" t="inlineStr">
        <is>
          <t>פברואר 25</t>
        </is>
      </c>
      <c r="L49" s="89" t="inlineStr">
        <is>
          <t>מרץ 25</t>
        </is>
      </c>
      <c r="M49" s="89" t="inlineStr">
        <is>
          <t>אפריל 25</t>
        </is>
      </c>
      <c r="N49" s="89" t="inlineStr">
        <is>
          <t>מאי 25</t>
        </is>
      </c>
      <c r="O49" s="89" t="inlineStr">
        <is>
          <t>יוני 25</t>
        </is>
      </c>
      <c r="P49" s="89" t="inlineStr">
        <is>
          <t>יולי 25</t>
        </is>
      </c>
      <c r="Q49" s="89" t="inlineStr">
        <is>
          <t>אוגוסט 25</t>
        </is>
      </c>
      <c r="R49" s="90" t="inlineStr">
        <is>
          <t>ספטמבר 25</t>
        </is>
      </c>
      <c r="S49" s="90" t="inlineStr">
        <is>
          <t>אוקטובר 25</t>
        </is>
      </c>
      <c r="T49" s="89" t="inlineStr">
        <is>
          <t>נובמבר 24</t>
        </is>
      </c>
      <c r="U49" s="89" t="inlineStr">
        <is>
          <t>דצמבר 25</t>
        </is>
      </c>
      <c r="V49" s="47" t="n"/>
    </row>
    <row r="50">
      <c r="J50" s="48" t="inlineStr">
        <is>
          <t xml:space="preserve"> </t>
        </is>
      </c>
      <c r="K50" s="48" t="inlineStr">
        <is>
          <t xml:space="preserve"> </t>
        </is>
      </c>
      <c r="L50" s="48" t="inlineStr">
        <is>
          <t xml:space="preserve"> </t>
        </is>
      </c>
      <c r="M50" s="48" t="inlineStr">
        <is>
          <t xml:space="preserve"> </t>
        </is>
      </c>
      <c r="N50" s="48" t="inlineStr">
        <is>
          <t xml:space="preserve"> </t>
        </is>
      </c>
      <c r="O50" s="48" t="inlineStr">
        <is>
          <t xml:space="preserve"> </t>
        </is>
      </c>
      <c r="P50" s="97" t="n">
        <v>833</v>
      </c>
      <c r="Q50" s="48" t="inlineStr">
        <is>
          <t xml:space="preserve"> </t>
        </is>
      </c>
      <c r="R50" s="126" t="n">
        <v>833</v>
      </c>
      <c r="S50" s="48" t="inlineStr">
        <is>
          <t xml:space="preserve"> </t>
        </is>
      </c>
      <c r="T50" s="48" t="inlineStr">
        <is>
          <t xml:space="preserve"> </t>
        </is>
      </c>
      <c r="U50" s="48" t="inlineStr">
        <is>
          <t xml:space="preserve"> </t>
        </is>
      </c>
    </row>
    <row r="53">
      <c r="E53" t="inlineStr">
        <is>
          <t>חלק</t>
        </is>
      </c>
      <c r="F53" t="inlineStr">
        <is>
          <t>תשלומים</t>
        </is>
      </c>
      <c r="G53" t="inlineStr">
        <is>
          <t>שולמו</t>
        </is>
      </c>
      <c r="H53" t="inlineStr">
        <is>
          <t>סה"כ</t>
        </is>
      </c>
      <c r="I53" t="inlineStr">
        <is>
          <t>סה"כ שולם</t>
        </is>
      </c>
      <c r="J53" t="inlineStr">
        <is>
          <t>סה"כ חוב</t>
        </is>
      </c>
    </row>
    <row r="54">
      <c r="E54" t="n">
        <v>1</v>
      </c>
      <c r="F54" t="n">
        <v>670</v>
      </c>
      <c r="G54" t="n">
        <v>6</v>
      </c>
      <c r="H54" t="n">
        <v>12</v>
      </c>
      <c r="I54">
        <f>G54*F54</f>
        <v/>
      </c>
      <c r="J54">
        <f>H54*F54</f>
        <v/>
      </c>
      <c r="K54" s="114">
        <f>I54/J54</f>
        <v/>
      </c>
    </row>
    <row r="55">
      <c r="E55" t="n">
        <v>2</v>
      </c>
      <c r="F55" t="n">
        <v>213</v>
      </c>
      <c r="G55" t="n">
        <v>2</v>
      </c>
      <c r="H55" t="n">
        <v>24</v>
      </c>
      <c r="I55">
        <f>G55*F55</f>
        <v/>
      </c>
      <c r="J55">
        <f>H55*F55</f>
        <v/>
      </c>
      <c r="K55" s="114">
        <f>I55/J55</f>
        <v/>
      </c>
    </row>
    <row r="56">
      <c r="E56" t="inlineStr">
        <is>
          <t>סה"כ</t>
        </is>
      </c>
      <c r="I56">
        <f>SUM(I54:I55)</f>
        <v/>
      </c>
      <c r="J56">
        <f>SUM(J54:J55)</f>
        <v/>
      </c>
    </row>
    <row r="58">
      <c r="I58" s="151" t="inlineStr">
        <is>
          <t>יתרת חוב</t>
        </is>
      </c>
      <c r="J58" s="151">
        <f>J56-I56</f>
        <v/>
      </c>
    </row>
    <row r="66">
      <c r="A66" s="209" t="inlineStr">
        <is>
          <t>תאריך שמירה/הדפסה: 15/2/2026</t>
        </is>
      </c>
    </row>
    <row r="67">
      <c r="A67" s="210" t="inlineStr">
        <is>
          <t xml:space="preserve"> </t>
        </is>
      </c>
    </row>
    <row r="68">
      <c r="A68" s="209" t="inlineStr">
        <is>
          <t>היתרה</t>
        </is>
      </c>
      <c r="C68" s="209" t="inlineStr">
        <is>
          <t>מסגרת האשראי</t>
        </is>
      </c>
      <c r="E68" s="209" t="inlineStr">
        <is>
          <t>נכון לתאריך</t>
        </is>
      </c>
      <c r="G68" s="210" t="inlineStr">
        <is>
          <t xml:space="preserve"> </t>
        </is>
      </c>
      <c r="H68" s="210" t="inlineStr">
        <is>
          <t xml:space="preserve"> </t>
        </is>
      </c>
      <c r="I68" s="210" t="inlineStr">
        <is>
          <t xml:space="preserve"> </t>
        </is>
      </c>
    </row>
    <row r="69">
      <c r="A69" s="210" t="inlineStr">
        <is>
          <t xml:space="preserve"> </t>
        </is>
      </c>
      <c r="C69" s="210" t="inlineStr">
        <is>
          <t xml:space="preserve"> </t>
        </is>
      </c>
      <c r="E69" s="210" t="inlineStr">
        <is>
          <t xml:space="preserve"> </t>
        </is>
      </c>
      <c r="G69" s="210" t="inlineStr">
        <is>
          <t xml:space="preserve"> </t>
        </is>
      </c>
      <c r="H69" s="210" t="inlineStr">
        <is>
          <t xml:space="preserve"> </t>
        </is>
      </c>
      <c r="I69" s="210" t="inlineStr">
        <is>
          <t xml:space="preserve"> </t>
        </is>
      </c>
    </row>
    <row r="70">
      <c r="A70" s="210" t="inlineStr">
        <is>
          <t>₪ 31,538.78</t>
        </is>
      </c>
      <c r="C70" s="210" t="inlineStr">
        <is>
          <t>₪ 0.00</t>
        </is>
      </c>
      <c r="E70" s="210" t="inlineStr">
        <is>
          <t>15.02.26</t>
        </is>
      </c>
      <c r="G70" s="210" t="inlineStr">
        <is>
          <t xml:space="preserve"> </t>
        </is>
      </c>
      <c r="H70" s="210" t="inlineStr">
        <is>
          <t xml:space="preserve"> </t>
        </is>
      </c>
      <c r="I70" s="210" t="inlineStr">
        <is>
          <t xml:space="preserve"> </t>
        </is>
      </c>
    </row>
    <row r="71">
      <c r="A71" s="210" t="inlineStr">
        <is>
          <t>* כולל תנועות היום</t>
        </is>
      </c>
      <c r="C71" s="210" t="inlineStr">
        <is>
          <t xml:space="preserve"> </t>
        </is>
      </c>
      <c r="E71" s="210" t="inlineStr">
        <is>
          <t xml:space="preserve"> </t>
        </is>
      </c>
      <c r="G71" s="210" t="inlineStr">
        <is>
          <t xml:space="preserve"> </t>
        </is>
      </c>
      <c r="H71" s="210" t="inlineStr">
        <is>
          <t xml:space="preserve"> </t>
        </is>
      </c>
      <c r="I71" s="210" t="inlineStr">
        <is>
          <t xml:space="preserve"> </t>
        </is>
      </c>
    </row>
    <row r="72">
      <c r="A72" s="210" t="inlineStr">
        <is>
          <t xml:space="preserve"> </t>
        </is>
      </c>
    </row>
    <row r="73">
      <c r="A73" s="210" t="inlineStr">
        <is>
          <t xml:space="preserve"> </t>
        </is>
      </c>
    </row>
    <row r="74">
      <c r="A74" s="210" t="inlineStr">
        <is>
          <t xml:space="preserve"> </t>
        </is>
      </c>
    </row>
    <row r="75">
      <c r="A75" s="209" t="inlineStr">
        <is>
          <t>תנועות בחשבון</t>
        </is>
      </c>
    </row>
    <row r="76">
      <c r="A76" s="209" t="inlineStr">
        <is>
          <t>תאריך</t>
        </is>
      </c>
      <c r="B76" s="209" t="inlineStr">
        <is>
          <t>תאריך ערך</t>
        </is>
      </c>
      <c r="C76" s="209" t="inlineStr">
        <is>
          <t>תיאור</t>
        </is>
      </c>
      <c r="D76" s="209" t="inlineStr">
        <is>
          <t>אסמכתא</t>
        </is>
      </c>
      <c r="E76" s="209" t="inlineStr">
        <is>
          <t>בחובה</t>
        </is>
      </c>
      <c r="F76" s="209" t="inlineStr">
        <is>
          <t>בזכות</t>
        </is>
      </c>
      <c r="G76" s="209" t="inlineStr">
        <is>
          <t>תאור מורחב</t>
        </is>
      </c>
      <c r="H76" s="209" t="inlineStr">
        <is>
          <t xml:space="preserve">  הערה</t>
        </is>
      </c>
      <c r="I76" s="210" t="inlineStr">
        <is>
          <t xml:space="preserve"> </t>
        </is>
      </c>
    </row>
    <row r="77">
      <c r="A77" s="210" t="inlineStr">
        <is>
          <t>19/02/2024</t>
        </is>
      </c>
      <c r="B77" s="210" t="inlineStr">
        <is>
          <t>19/02/2024</t>
        </is>
      </c>
      <c r="C77" s="209" t="inlineStr">
        <is>
          <t>בנק מזרחי</t>
        </is>
      </c>
      <c r="D77" s="210" t="n">
        <v>99020</v>
      </c>
      <c r="E77" s="210" t="n">
        <v>0</v>
      </c>
      <c r="F77" s="210" t="n">
        <v>500</v>
      </c>
      <c r="G77" s="209" t="inlineStr">
        <is>
          <t>העברה מאת: בכר שי 20-523-000260701 דירה 13</t>
        </is>
      </c>
      <c r="H77" s="210" t="inlineStr">
        <is>
          <t xml:space="preserve"> </t>
        </is>
      </c>
      <c r="I77" s="210" t="inlineStr">
        <is>
          <t xml:space="preserve"> </t>
        </is>
      </c>
    </row>
    <row r="78">
      <c r="A78" s="150" t="n">
        <v>45421</v>
      </c>
      <c r="B78" s="150" t="n">
        <v>45421</v>
      </c>
      <c r="C78" s="209" t="inlineStr">
        <is>
          <t>בנק מזרחי</t>
        </is>
      </c>
      <c r="D78" s="210" t="n">
        <v>99020</v>
      </c>
      <c r="E78" s="210" t="n">
        <v>0</v>
      </c>
      <c r="F78" s="210" t="n">
        <v>670</v>
      </c>
      <c r="G78" s="209" t="inlineStr">
        <is>
          <t>העברה מאת: בכר שי 20-523-000260701 תשלום ראשון</t>
        </is>
      </c>
      <c r="H78" s="210" t="inlineStr">
        <is>
          <t xml:space="preserve"> </t>
        </is>
      </c>
      <c r="I78" s="210" t="inlineStr">
        <is>
          <t xml:space="preserve"> </t>
        </is>
      </c>
    </row>
    <row r="79">
      <c r="A79" s="210" t="inlineStr">
        <is>
          <t>13/10/2024</t>
        </is>
      </c>
      <c r="B79" s="210" t="inlineStr">
        <is>
          <t>13/10/2024</t>
        </is>
      </c>
      <c r="C79" s="209" t="inlineStr">
        <is>
          <t>בנק מזרחי</t>
        </is>
      </c>
      <c r="D79" s="210" t="n">
        <v>99020</v>
      </c>
      <c r="E79" s="210" t="n">
        <v>0</v>
      </c>
      <c r="F79" s="210" t="n">
        <v>670</v>
      </c>
      <c r="G79" s="209" t="inlineStr">
        <is>
          <t>העברה מאת: בכר שי 20-523-000260701</t>
        </is>
      </c>
      <c r="H79" s="210" t="inlineStr">
        <is>
          <t xml:space="preserve"> </t>
        </is>
      </c>
      <c r="I79" s="210" t="inlineStr">
        <is>
          <t xml:space="preserve"> </t>
        </is>
      </c>
    </row>
    <row r="80">
      <c r="A80" s="210" t="inlineStr">
        <is>
          <t>13/10/2024</t>
        </is>
      </c>
      <c r="B80" s="210" t="inlineStr">
        <is>
          <t>13/10/2024</t>
        </is>
      </c>
      <c r="C80" s="209" t="inlineStr">
        <is>
          <t>בנק מזרחי</t>
        </is>
      </c>
      <c r="D80" s="210" t="n">
        <v>99020</v>
      </c>
      <c r="E80" s="210" t="n">
        <v>0</v>
      </c>
      <c r="F80" s="210" t="n">
        <v>670</v>
      </c>
      <c r="G80" s="209" t="inlineStr">
        <is>
          <t>העברה מאת: בכר שי 20-523-000260701</t>
        </is>
      </c>
      <c r="H80" s="210" t="inlineStr">
        <is>
          <t xml:space="preserve"> </t>
        </is>
      </c>
      <c r="I80" s="210" t="inlineStr">
        <is>
          <t xml:space="preserve"> </t>
        </is>
      </c>
    </row>
    <row r="81">
      <c r="A81" s="210" t="inlineStr">
        <is>
          <t>22/11/2024</t>
        </is>
      </c>
      <c r="B81" s="210" t="inlineStr">
        <is>
          <t>22/11/2024</t>
        </is>
      </c>
      <c r="C81" s="209" t="inlineStr">
        <is>
          <t>בנק מזרחי</t>
        </is>
      </c>
      <c r="D81" s="210" t="n">
        <v>99020</v>
      </c>
      <c r="E81" s="210" t="n">
        <v>0</v>
      </c>
      <c r="F81" s="210" t="n">
        <v>670</v>
      </c>
      <c r="G81" s="209" t="inlineStr">
        <is>
          <t>העברה מאת: בכר שי 20-523-000260701 תשלום</t>
        </is>
      </c>
      <c r="H81" s="210" t="inlineStr">
        <is>
          <t xml:space="preserve"> </t>
        </is>
      </c>
      <c r="I81" s="210" t="inlineStr">
        <is>
          <t xml:space="preserve"> </t>
        </is>
      </c>
    </row>
    <row r="82">
      <c r="A82" s="210" t="inlineStr">
        <is>
          <t>24/03/2025</t>
        </is>
      </c>
      <c r="B82" s="210" t="inlineStr">
        <is>
          <t>24/03/2025</t>
        </is>
      </c>
      <c r="C82" s="209" t="inlineStr">
        <is>
          <t>בנק מזרחי</t>
        </is>
      </c>
      <c r="D82" s="210" t="n">
        <v>99020</v>
      </c>
      <c r="E82" s="210" t="n">
        <v>0</v>
      </c>
      <c r="F82" s="210" t="n">
        <v>820</v>
      </c>
      <c r="G82" s="209" t="inlineStr">
        <is>
          <t>העברה מאת: בכר שי 20-523-000260701</t>
        </is>
      </c>
      <c r="H82" s="210" t="inlineStr">
        <is>
          <t xml:space="preserve"> </t>
        </is>
      </c>
      <c r="I82" s="210" t="inlineStr">
        <is>
          <t xml:space="preserve"> </t>
        </is>
      </c>
    </row>
    <row r="83">
      <c r="A83" s="210" t="inlineStr">
        <is>
          <t>21/07/2025</t>
        </is>
      </c>
      <c r="B83" s="210" t="inlineStr">
        <is>
          <t>21/07/2025</t>
        </is>
      </c>
      <c r="C83" s="209" t="inlineStr">
        <is>
          <t>בנק מזרחי</t>
        </is>
      </c>
      <c r="D83" s="210" t="n">
        <v>99020</v>
      </c>
      <c r="E83" s="210" t="n">
        <v>0</v>
      </c>
      <c r="F83" s="210" t="n">
        <v>883</v>
      </c>
      <c r="G83" s="209" t="inlineStr">
        <is>
          <t>העברה מאת: בכר שי 20-523-000260701</t>
        </is>
      </c>
      <c r="H83" s="210" t="inlineStr">
        <is>
          <t xml:space="preserve"> </t>
        </is>
      </c>
      <c r="I83" s="210" t="inlineStr">
        <is>
          <t xml:space="preserve"> </t>
        </is>
      </c>
    </row>
    <row r="84">
      <c r="A84" s="210" t="inlineStr">
        <is>
          <t>14/09/2025</t>
        </is>
      </c>
      <c r="B84" s="210" t="inlineStr">
        <is>
          <t>14/09/2025</t>
        </is>
      </c>
      <c r="C84" s="209" t="inlineStr">
        <is>
          <t>בנק מזרחי</t>
        </is>
      </c>
      <c r="D84" s="210" t="n">
        <v>99020</v>
      </c>
      <c r="E84" s="210" t="n">
        <v>0</v>
      </c>
      <c r="F84" s="210" t="n">
        <v>883</v>
      </c>
      <c r="G84" s="209" t="inlineStr">
        <is>
          <t>העברה מאת: בכר שי 20-523-000260701</t>
        </is>
      </c>
      <c r="H84" s="210" t="inlineStr">
        <is>
          <t xml:space="preserve"> </t>
        </is>
      </c>
      <c r="I84" s="210" t="inlineStr">
        <is>
          <t xml:space="preserve"> </t>
        </is>
      </c>
    </row>
    <row r="87">
      <c r="A87" s="209" t="inlineStr">
        <is>
          <t>בנק לאומי |</t>
        </is>
      </c>
    </row>
    <row r="88">
      <c r="A88" s="209" t="inlineStr">
        <is>
          <t>מס' חשבון : ‏‏ ‎885-37554/82‎</t>
        </is>
      </c>
    </row>
    <row r="89">
      <c r="A89" s="209" t="inlineStr">
        <is>
          <t>תאריך שמירה/הדפסה: 15/2/2026</t>
        </is>
      </c>
    </row>
    <row r="90">
      <c r="A90" s="210" t="n"/>
    </row>
    <row r="91">
      <c r="A91" s="209" t="inlineStr">
        <is>
          <t>היתרה</t>
        </is>
      </c>
      <c r="C91" s="209" t="inlineStr">
        <is>
          <t>מסגרת האשראי</t>
        </is>
      </c>
      <c r="E91" s="209" t="inlineStr">
        <is>
          <t>נכון לתאריך</t>
        </is>
      </c>
      <c r="G91" s="210" t="n"/>
      <c r="H91" s="210" t="n"/>
      <c r="I91" s="210" t="n"/>
    </row>
    <row r="92">
      <c r="A92" s="210" t="n"/>
      <c r="C92" s="210" t="n"/>
      <c r="E92" s="210" t="n"/>
      <c r="G92" s="210" t="n"/>
      <c r="H92" s="210" t="n"/>
      <c r="I92" s="210" t="n"/>
    </row>
    <row r="93">
      <c r="A93" s="210" t="inlineStr">
        <is>
          <t>₪ 31,538.78</t>
        </is>
      </c>
      <c r="C93" s="210" t="inlineStr">
        <is>
          <t>₪ 0.00</t>
        </is>
      </c>
      <c r="E93" s="210" t="inlineStr">
        <is>
          <t>15.02.26</t>
        </is>
      </c>
      <c r="G93" s="210" t="n"/>
      <c r="H93" s="210" t="n"/>
      <c r="I93" s="210" t="n"/>
    </row>
    <row r="94">
      <c r="A94" s="210" t="inlineStr">
        <is>
          <t>* כולל תנועות היום</t>
        </is>
      </c>
      <c r="C94" s="210" t="n"/>
      <c r="E94" s="210" t="n"/>
      <c r="G94" s="210" t="n"/>
      <c r="H94" s="210" t="n"/>
      <c r="I94" s="210" t="n"/>
    </row>
    <row r="95">
      <c r="A95" s="210" t="n"/>
    </row>
    <row r="96">
      <c r="A96" s="210" t="n"/>
    </row>
    <row r="97">
      <c r="A97" s="210" t="n"/>
    </row>
    <row r="98">
      <c r="A98" s="209" t="inlineStr">
        <is>
          <t>תנועות בחשבון</t>
        </is>
      </c>
    </row>
    <row r="99">
      <c r="A99" s="209" t="inlineStr">
        <is>
          <t>תאריך</t>
        </is>
      </c>
      <c r="B99" s="209" t="inlineStr">
        <is>
          <t>תאריך ערך</t>
        </is>
      </c>
      <c r="C99" s="209" t="inlineStr">
        <is>
          <t>תיאור</t>
        </is>
      </c>
      <c r="D99" s="209" t="inlineStr">
        <is>
          <t>אסמכתא</t>
        </is>
      </c>
      <c r="E99" s="209" t="inlineStr">
        <is>
          <t>בחובה</t>
        </is>
      </c>
      <c r="F99" s="209" t="inlineStr">
        <is>
          <t>בזכות</t>
        </is>
      </c>
      <c r="G99" s="209" t="inlineStr">
        <is>
          <t>תאור מורחב</t>
        </is>
      </c>
      <c r="H99" s="209" t="inlineStr">
        <is>
          <t xml:space="preserve">  הערה</t>
        </is>
      </c>
      <c r="I99" s="210" t="n"/>
    </row>
    <row r="100">
      <c r="A100" s="150" t="n">
        <v>45242</v>
      </c>
      <c r="B100" s="150" t="n">
        <v>45242</v>
      </c>
      <c r="C100" s="209" t="inlineStr">
        <is>
          <t>מבנק יהב ס.-י</t>
        </is>
      </c>
      <c r="D100" s="210" t="n">
        <v>99004</v>
      </c>
      <c r="E100" s="210" t="n">
        <v>0</v>
      </c>
      <c r="F100" s="210" t="n">
        <v>320</v>
      </c>
      <c r="G100" s="209" t="inlineStr">
        <is>
          <t>העברה מאת: בכר שי נפתלי 04-233-000113835 וועד בית</t>
        </is>
      </c>
      <c r="H100" s="210" t="n"/>
      <c r="I100" s="210" t="n"/>
    </row>
    <row r="101">
      <c r="A101" s="150" t="n">
        <v>45566</v>
      </c>
      <c r="B101" s="150" t="n">
        <v>45566</v>
      </c>
      <c r="C101" s="209" t="inlineStr">
        <is>
          <t>מבנק יהב ס.-י</t>
        </is>
      </c>
      <c r="D101" s="210" t="n">
        <v>99004</v>
      </c>
      <c r="E101" s="210" t="n">
        <v>0</v>
      </c>
      <c r="F101" s="210" t="n">
        <v>320</v>
      </c>
      <c r="G101" s="209" t="inlineStr">
        <is>
          <t>העברה מאת: בכר שי נפתלי 04-233-000113835 וועד בית</t>
        </is>
      </c>
      <c r="H101" s="210" t="n"/>
      <c r="I101" s="210" t="n"/>
    </row>
    <row r="102">
      <c r="A102" s="210" t="inlineStr">
        <is>
          <t>15/02/2024</t>
        </is>
      </c>
      <c r="B102" s="210" t="inlineStr">
        <is>
          <t>15/02/2024</t>
        </is>
      </c>
      <c r="C102" s="209" t="inlineStr">
        <is>
          <t>בנק מזרחי</t>
        </is>
      </c>
      <c r="D102" s="210" t="n">
        <v>99020</v>
      </c>
      <c r="E102" s="210" t="n">
        <v>0</v>
      </c>
      <c r="F102" s="210" t="n">
        <v>320</v>
      </c>
      <c r="G102" s="209" t="inlineStr">
        <is>
          <t>העברה מאת: בכר שי 20-523-000260701</t>
        </is>
      </c>
      <c r="H102" s="210" t="n"/>
      <c r="I102" s="210" t="n"/>
    </row>
    <row r="103">
      <c r="A103" s="210" t="inlineStr">
        <is>
          <t>19/02/2024</t>
        </is>
      </c>
      <c r="B103" s="210" t="inlineStr">
        <is>
          <t>19/02/2024</t>
        </is>
      </c>
      <c r="C103" s="209" t="inlineStr">
        <is>
          <t>בנק מזרחי</t>
        </is>
      </c>
      <c r="D103" s="210" t="n">
        <v>99020</v>
      </c>
      <c r="E103" s="210" t="n">
        <v>0</v>
      </c>
      <c r="F103" s="210" t="n">
        <v>500</v>
      </c>
      <c r="G103" s="209" t="inlineStr">
        <is>
          <t>העברה מאת: בכר שי 20-523-000260701 דירה 13</t>
        </is>
      </c>
      <c r="H103" s="210" t="n"/>
      <c r="I103" s="210" t="n"/>
    </row>
    <row r="104">
      <c r="A104" s="210" t="inlineStr">
        <is>
          <t>15/03/2024</t>
        </is>
      </c>
      <c r="B104" s="210" t="inlineStr">
        <is>
          <t>15/03/2024</t>
        </is>
      </c>
      <c r="C104" s="209" t="inlineStr">
        <is>
          <t>בנק מזרחי</t>
        </is>
      </c>
      <c r="D104" s="210" t="n">
        <v>99020</v>
      </c>
      <c r="E104" s="210" t="n">
        <v>0</v>
      </c>
      <c r="F104" s="210" t="n">
        <v>320</v>
      </c>
      <c r="G104" s="209" t="inlineStr">
        <is>
          <t>העברה מאת: בכר שי 20-523-000260701</t>
        </is>
      </c>
      <c r="H104" s="210" t="n"/>
      <c r="I104" s="210" t="n"/>
    </row>
    <row r="105">
      <c r="A105" s="210" t="inlineStr">
        <is>
          <t>15/04/2024</t>
        </is>
      </c>
      <c r="B105" s="210" t="inlineStr">
        <is>
          <t>15/04/2024</t>
        </is>
      </c>
      <c r="C105" s="209" t="inlineStr">
        <is>
          <t>בנק מזרחי</t>
        </is>
      </c>
      <c r="D105" s="210" t="n">
        <v>99020</v>
      </c>
      <c r="E105" s="210" t="n">
        <v>0</v>
      </c>
      <c r="F105" s="210" t="n">
        <v>320</v>
      </c>
      <c r="G105" s="209" t="inlineStr">
        <is>
          <t>העברה מאת: בכר שי 20-523-000260701</t>
        </is>
      </c>
      <c r="H105" s="210" t="n"/>
      <c r="I105" s="210" t="n"/>
    </row>
    <row r="106">
      <c r="A106" s="210" t="inlineStr">
        <is>
          <t>15/05/2024</t>
        </is>
      </c>
      <c r="B106" s="210" t="inlineStr">
        <is>
          <t>15/05/2024</t>
        </is>
      </c>
      <c r="C106" s="209" t="inlineStr">
        <is>
          <t>בנק מזרחי</t>
        </is>
      </c>
      <c r="D106" s="210" t="n">
        <v>99020</v>
      </c>
      <c r="E106" s="210" t="n">
        <v>0</v>
      </c>
      <c r="F106" s="210" t="n">
        <v>320</v>
      </c>
      <c r="G106" s="209" t="inlineStr">
        <is>
          <t>העברה מאת: בכר שי 20-523-000260701</t>
        </is>
      </c>
      <c r="H106" s="210" t="n"/>
      <c r="I106" s="210" t="n"/>
    </row>
    <row r="107">
      <c r="A107" s="210" t="inlineStr">
        <is>
          <t>16/06/2024</t>
        </is>
      </c>
      <c r="B107" s="210" t="inlineStr">
        <is>
          <t>16/06/2024</t>
        </is>
      </c>
      <c r="C107" s="209" t="inlineStr">
        <is>
          <t>בנק מזרחי</t>
        </is>
      </c>
      <c r="D107" s="210" t="n">
        <v>99020</v>
      </c>
      <c r="E107" s="210" t="n">
        <v>0</v>
      </c>
      <c r="F107" s="210" t="n">
        <v>320</v>
      </c>
      <c r="G107" s="209" t="inlineStr">
        <is>
          <t>העברה מאת: בכר שי 20-523-000260701</t>
        </is>
      </c>
      <c r="H107" s="210" t="n"/>
      <c r="I107" s="210" t="n"/>
    </row>
    <row r="108">
      <c r="A108" s="210" t="inlineStr">
        <is>
          <t>15/07/2024</t>
        </is>
      </c>
      <c r="B108" s="210" t="inlineStr">
        <is>
          <t>15/07/2024</t>
        </is>
      </c>
      <c r="C108" s="209" t="inlineStr">
        <is>
          <t>בנק מזרחי</t>
        </is>
      </c>
      <c r="D108" s="210" t="n">
        <v>99020</v>
      </c>
      <c r="E108" s="210" t="n">
        <v>0</v>
      </c>
      <c r="F108" s="210" t="n">
        <v>320</v>
      </c>
      <c r="G108" s="209" t="inlineStr">
        <is>
          <t>העברה מאת: בכר שי 20-523-000260701</t>
        </is>
      </c>
      <c r="H108" s="210" t="n"/>
      <c r="I108" s="210" t="n"/>
    </row>
    <row r="109">
      <c r="A109" s="210" t="inlineStr">
        <is>
          <t>15/08/2024</t>
        </is>
      </c>
      <c r="B109" s="210" t="inlineStr">
        <is>
          <t>15/08/2024</t>
        </is>
      </c>
      <c r="C109" s="209" t="inlineStr">
        <is>
          <t>בנק מזרחי</t>
        </is>
      </c>
      <c r="D109" s="210" t="n">
        <v>99020</v>
      </c>
      <c r="E109" s="210" t="n">
        <v>0</v>
      </c>
      <c r="F109" s="210" t="n">
        <v>320</v>
      </c>
      <c r="G109" s="209" t="inlineStr">
        <is>
          <t>העברה מאת: בכר שי 20-523-000260701</t>
        </is>
      </c>
      <c r="H109" s="210" t="n"/>
      <c r="I109" s="210" t="n"/>
    </row>
    <row r="110">
      <c r="A110" s="150" t="n">
        <v>45421</v>
      </c>
      <c r="B110" s="150" t="n">
        <v>45421</v>
      </c>
      <c r="C110" s="209" t="inlineStr">
        <is>
          <t>בנק מזרחי</t>
        </is>
      </c>
      <c r="D110" s="210" t="n">
        <v>99020</v>
      </c>
      <c r="E110" s="210" t="n">
        <v>0</v>
      </c>
      <c r="F110" s="210" t="n">
        <v>670</v>
      </c>
      <c r="G110" s="209" t="inlineStr">
        <is>
          <t>העברה מאת: בכר שי 20-523-000260701 תשלום ראשון</t>
        </is>
      </c>
      <c r="H110" s="210" t="n"/>
      <c r="I110" s="210" t="n"/>
    </row>
    <row r="111">
      <c r="A111" s="210" t="inlineStr">
        <is>
          <t>15/09/2024</t>
        </is>
      </c>
      <c r="B111" s="210" t="inlineStr">
        <is>
          <t>15/09/2024</t>
        </is>
      </c>
      <c r="C111" s="209" t="inlineStr">
        <is>
          <t>בנק מזרחי</t>
        </is>
      </c>
      <c r="D111" s="210" t="n">
        <v>99020</v>
      </c>
      <c r="E111" s="210" t="n">
        <v>0</v>
      </c>
      <c r="F111" s="210" t="n">
        <v>320</v>
      </c>
      <c r="G111" s="209" t="inlineStr">
        <is>
          <t>העברה מאת: בכר שי 20-523-000260701</t>
        </is>
      </c>
      <c r="H111" s="210" t="n"/>
      <c r="I111" s="210" t="n"/>
    </row>
    <row r="112">
      <c r="A112" s="210" t="inlineStr">
        <is>
          <t>13/10/2024</t>
        </is>
      </c>
      <c r="B112" s="210" t="inlineStr">
        <is>
          <t>13/10/2024</t>
        </is>
      </c>
      <c r="C112" s="209" t="inlineStr">
        <is>
          <t>בנק מזרחי</t>
        </is>
      </c>
      <c r="D112" s="210" t="n">
        <v>99020</v>
      </c>
      <c r="E112" s="210" t="n">
        <v>0</v>
      </c>
      <c r="F112" s="210" t="n">
        <v>670</v>
      </c>
      <c r="G112" s="209" t="inlineStr">
        <is>
          <t>העברה מאת: בכר שי 20-523-000260701</t>
        </is>
      </c>
      <c r="H112" s="210" t="n"/>
      <c r="I112" s="210" t="n"/>
    </row>
    <row r="113">
      <c r="A113" s="210" t="inlineStr">
        <is>
          <t>13/10/2024</t>
        </is>
      </c>
      <c r="B113" s="210" t="inlineStr">
        <is>
          <t>13/10/2024</t>
        </is>
      </c>
      <c r="C113" s="209" t="inlineStr">
        <is>
          <t>בנק מזרחי</t>
        </is>
      </c>
      <c r="D113" s="210" t="n">
        <v>99020</v>
      </c>
      <c r="E113" s="210" t="n">
        <v>0</v>
      </c>
      <c r="F113" s="210" t="n">
        <v>670</v>
      </c>
      <c r="G113" s="209" t="inlineStr">
        <is>
          <t>העברה מאת: בכר שי 20-523-000260701</t>
        </is>
      </c>
      <c r="H113" s="210" t="n"/>
      <c r="I113" s="210" t="n"/>
    </row>
    <row r="114">
      <c r="A114" s="210" t="inlineStr">
        <is>
          <t>15/10/2024</t>
        </is>
      </c>
      <c r="B114" s="210" t="inlineStr">
        <is>
          <t>15/10/2024</t>
        </is>
      </c>
      <c r="C114" s="209" t="inlineStr">
        <is>
          <t>בנק מזרחי</t>
        </is>
      </c>
      <c r="D114" s="210" t="n">
        <v>99020</v>
      </c>
      <c r="E114" s="210" t="n">
        <v>0</v>
      </c>
      <c r="F114" s="210" t="n">
        <v>320</v>
      </c>
      <c r="G114" s="209" t="inlineStr">
        <is>
          <t>העברה מאת: בכר שי 20-523-000260701</t>
        </is>
      </c>
      <c r="H114" s="210" t="n"/>
      <c r="I114" s="210" t="n"/>
    </row>
    <row r="115">
      <c r="A115" s="210" t="inlineStr">
        <is>
          <t>15/11/2024</t>
        </is>
      </c>
      <c r="B115" s="210" t="inlineStr">
        <is>
          <t>15/11/2024</t>
        </is>
      </c>
      <c r="C115" s="209" t="inlineStr">
        <is>
          <t>בנק מזרחי</t>
        </is>
      </c>
      <c r="D115" s="210" t="n">
        <v>99020</v>
      </c>
      <c r="E115" s="210" t="n">
        <v>0</v>
      </c>
      <c r="F115" s="210" t="n">
        <v>320</v>
      </c>
      <c r="G115" s="209" t="inlineStr">
        <is>
          <t>העברה מאת: בכר שי 20-523-000260701</t>
        </is>
      </c>
      <c r="H115" s="210" t="n"/>
      <c r="I115" s="210" t="n"/>
    </row>
    <row r="116">
      <c r="A116" s="210" t="inlineStr">
        <is>
          <t>22/11/2024</t>
        </is>
      </c>
      <c r="B116" s="210" t="inlineStr">
        <is>
          <t>22/11/2024</t>
        </is>
      </c>
      <c r="C116" s="209" t="inlineStr">
        <is>
          <t>בנק מזרחי</t>
        </is>
      </c>
      <c r="D116" s="210" t="n">
        <v>99020</v>
      </c>
      <c r="E116" s="210" t="n">
        <v>0</v>
      </c>
      <c r="F116" s="210" t="n">
        <v>670</v>
      </c>
      <c r="G116" s="209" t="inlineStr">
        <is>
          <t>העברה מאת: בכר שי 20-523-000260701 תשלום</t>
        </is>
      </c>
      <c r="H116" s="210" t="n"/>
      <c r="I116" s="210" t="n"/>
    </row>
    <row r="117">
      <c r="A117" s="210" t="inlineStr">
        <is>
          <t>15/12/2024</t>
        </is>
      </c>
      <c r="B117" s="210" t="inlineStr">
        <is>
          <t>15/12/2024</t>
        </is>
      </c>
      <c r="C117" s="209" t="inlineStr">
        <is>
          <t>בנק מזרחי</t>
        </is>
      </c>
      <c r="D117" s="210" t="n">
        <v>99020</v>
      </c>
      <c r="E117" s="210" t="n">
        <v>0</v>
      </c>
      <c r="F117" s="210" t="n">
        <v>320</v>
      </c>
      <c r="G117" s="209" t="inlineStr">
        <is>
          <t>העברה מאת: בכר שי 20-523-000260701</t>
        </is>
      </c>
      <c r="H117" s="210" t="n"/>
      <c r="I117" s="210" t="n"/>
    </row>
    <row r="118">
      <c r="A118" s="210" t="inlineStr">
        <is>
          <t>16/02/2025</t>
        </is>
      </c>
      <c r="B118" s="210" t="inlineStr">
        <is>
          <t>16/02/2025</t>
        </is>
      </c>
      <c r="C118" s="209" t="inlineStr">
        <is>
          <t>בנק מזרחי</t>
        </is>
      </c>
      <c r="D118" s="210" t="n">
        <v>99020</v>
      </c>
      <c r="E118" s="210" t="n">
        <v>0</v>
      </c>
      <c r="F118" s="210" t="n">
        <v>320</v>
      </c>
      <c r="G118" s="209" t="inlineStr">
        <is>
          <t>העברה מאת: בכר שי 20-523-000260701</t>
        </is>
      </c>
      <c r="H118" s="210" t="n"/>
      <c r="I118" s="210" t="n"/>
    </row>
    <row r="119">
      <c r="A119" s="210" t="inlineStr">
        <is>
          <t>24/03/2025</t>
        </is>
      </c>
      <c r="B119" s="210" t="inlineStr">
        <is>
          <t>24/03/2025</t>
        </is>
      </c>
      <c r="C119" s="209" t="inlineStr">
        <is>
          <t>בנק מזרחי</t>
        </is>
      </c>
      <c r="D119" s="210" t="n">
        <v>99020</v>
      </c>
      <c r="E119" s="210" t="n">
        <v>0</v>
      </c>
      <c r="F119" s="210" t="n">
        <v>820</v>
      </c>
      <c r="G119" s="209" t="inlineStr">
        <is>
          <t>העברה מאת: בכר שי 20-523-000260701</t>
        </is>
      </c>
      <c r="H119" s="210" t="n"/>
      <c r="I119" s="210" t="n"/>
    </row>
    <row r="120">
      <c r="A120" s="210" t="inlineStr">
        <is>
          <t>15/04/2025</t>
        </is>
      </c>
      <c r="B120" s="210" t="inlineStr">
        <is>
          <t>15/04/2025</t>
        </is>
      </c>
      <c r="C120" s="209" t="inlineStr">
        <is>
          <t>בנק מזרחי</t>
        </is>
      </c>
      <c r="D120" s="210" t="n">
        <v>99020</v>
      </c>
      <c r="E120" s="210" t="n">
        <v>0</v>
      </c>
      <c r="F120" s="210" t="n">
        <v>320</v>
      </c>
      <c r="G120" s="209" t="inlineStr">
        <is>
          <t>העברה מאת: בכר שי 20-523-000260701</t>
        </is>
      </c>
      <c r="H120" s="210" t="n"/>
      <c r="I120" s="210" t="n"/>
    </row>
    <row r="121">
      <c r="A121" s="210" t="inlineStr">
        <is>
          <t>15/05/2025</t>
        </is>
      </c>
      <c r="B121" s="210" t="inlineStr">
        <is>
          <t>15/05/2025</t>
        </is>
      </c>
      <c r="C121" s="209" t="inlineStr">
        <is>
          <t>בנק מזרחי</t>
        </is>
      </c>
      <c r="D121" s="210" t="n">
        <v>99020</v>
      </c>
      <c r="E121" s="210" t="n">
        <v>0</v>
      </c>
      <c r="F121" s="210" t="n">
        <v>320</v>
      </c>
      <c r="G121" s="209" t="inlineStr">
        <is>
          <t>העברה מאת: בכר שי 20-523-000260701</t>
        </is>
      </c>
      <c r="H121" s="210" t="n"/>
      <c r="I121" s="210" t="n"/>
    </row>
    <row r="122">
      <c r="A122" s="210" t="inlineStr">
        <is>
          <t>15/06/2025</t>
        </is>
      </c>
      <c r="B122" s="210" t="inlineStr">
        <is>
          <t>15/06/2025</t>
        </is>
      </c>
      <c r="C122" s="209" t="inlineStr">
        <is>
          <t>בנק מזרחי</t>
        </is>
      </c>
      <c r="D122" s="210" t="n">
        <v>99020</v>
      </c>
      <c r="E122" s="210" t="n">
        <v>0</v>
      </c>
      <c r="F122" s="210" t="n">
        <v>320</v>
      </c>
      <c r="G122" s="209" t="inlineStr">
        <is>
          <t>העברה מאת: בכר שי 20-523-000260701</t>
        </is>
      </c>
      <c r="H122" s="210" t="n"/>
      <c r="I122" s="210" t="n"/>
    </row>
    <row r="123">
      <c r="A123" s="210" t="inlineStr">
        <is>
          <t>15/07/2025</t>
        </is>
      </c>
      <c r="B123" s="210" t="inlineStr">
        <is>
          <t>15/07/2025</t>
        </is>
      </c>
      <c r="C123" s="209" t="inlineStr">
        <is>
          <t>בנק מזרחי</t>
        </is>
      </c>
      <c r="D123" s="210" t="n">
        <v>99020</v>
      </c>
      <c r="E123" s="210" t="n">
        <v>0</v>
      </c>
      <c r="F123" s="210" t="n">
        <v>320</v>
      </c>
      <c r="G123" s="209" t="inlineStr">
        <is>
          <t>העברה מאת: בכר שי 20-523-000260701</t>
        </is>
      </c>
      <c r="H123" s="210" t="n"/>
      <c r="I123" s="210" t="n"/>
    </row>
    <row r="124">
      <c r="A124" s="210" t="inlineStr">
        <is>
          <t>21/07/2025</t>
        </is>
      </c>
      <c r="B124" s="210" t="inlineStr">
        <is>
          <t>21/07/2025</t>
        </is>
      </c>
      <c r="C124" s="209" t="inlineStr">
        <is>
          <t>בנק מזרחי</t>
        </is>
      </c>
      <c r="D124" s="210" t="n">
        <v>99020</v>
      </c>
      <c r="E124" s="210" t="n">
        <v>0</v>
      </c>
      <c r="F124" s="210" t="n">
        <v>883</v>
      </c>
      <c r="G124" s="209" t="inlineStr">
        <is>
          <t>העברה מאת: בכר שי 20-523-000260701</t>
        </is>
      </c>
      <c r="H124" s="210" t="n"/>
      <c r="I124" s="210" t="n"/>
    </row>
    <row r="125">
      <c r="A125" s="210" t="inlineStr">
        <is>
          <t>15/08/2025</t>
        </is>
      </c>
      <c r="B125" s="210" t="inlineStr">
        <is>
          <t>15/08/2025</t>
        </is>
      </c>
      <c r="C125" s="209" t="inlineStr">
        <is>
          <t>בנק מזרחי</t>
        </is>
      </c>
      <c r="D125" s="210" t="n">
        <v>99020</v>
      </c>
      <c r="E125" s="210" t="n">
        <v>0</v>
      </c>
      <c r="F125" s="210" t="n">
        <v>320</v>
      </c>
      <c r="G125" s="209" t="inlineStr">
        <is>
          <t>העברה מאת: בכר שי 20-523-000260701</t>
        </is>
      </c>
      <c r="H125" s="210" t="n"/>
      <c r="I125" s="210" t="n"/>
    </row>
    <row r="126">
      <c r="A126" s="210" t="inlineStr">
        <is>
          <t>14/09/2025</t>
        </is>
      </c>
      <c r="B126" s="210" t="inlineStr">
        <is>
          <t>14/09/2025</t>
        </is>
      </c>
      <c r="C126" s="209" t="inlineStr">
        <is>
          <t>בנק מזרחי</t>
        </is>
      </c>
      <c r="D126" s="210" t="n">
        <v>99020</v>
      </c>
      <c r="E126" s="210" t="n">
        <v>0</v>
      </c>
      <c r="F126" s="210" t="n">
        <v>883</v>
      </c>
      <c r="G126" s="209" t="inlineStr">
        <is>
          <t>העברה מאת: בכר שי 20-523-000260701</t>
        </is>
      </c>
      <c r="H126" s="210" t="n"/>
      <c r="I126" s="210" t="n"/>
    </row>
    <row r="127">
      <c r="A127" s="210" t="inlineStr">
        <is>
          <t>15/09/2025</t>
        </is>
      </c>
      <c r="B127" s="210" t="inlineStr">
        <is>
          <t>15/09/2025</t>
        </is>
      </c>
      <c r="C127" s="209" t="inlineStr">
        <is>
          <t>בנק מזרחי</t>
        </is>
      </c>
      <c r="D127" s="210" t="n">
        <v>99020</v>
      </c>
      <c r="E127" s="210" t="n">
        <v>0</v>
      </c>
      <c r="F127" s="210" t="n">
        <v>320</v>
      </c>
      <c r="G127" s="209" t="inlineStr">
        <is>
          <t>העברה מאת: בכר שי 20-523-000260701</t>
        </is>
      </c>
      <c r="H127" s="210" t="n"/>
      <c r="I127" s="210" t="n"/>
    </row>
    <row r="128">
      <c r="A128" s="210" t="inlineStr">
        <is>
          <t>15/10/2025</t>
        </is>
      </c>
      <c r="B128" s="210" t="inlineStr">
        <is>
          <t>15/10/2025</t>
        </is>
      </c>
      <c r="C128" s="209" t="inlineStr">
        <is>
          <t>בנק מזרחי</t>
        </is>
      </c>
      <c r="D128" s="210" t="n">
        <v>99020</v>
      </c>
      <c r="E128" s="210" t="n">
        <v>0</v>
      </c>
      <c r="F128" s="210" t="n">
        <v>320</v>
      </c>
      <c r="G128" s="209" t="inlineStr">
        <is>
          <t>העברה מאת: בכר שי 20-523-000260701</t>
        </is>
      </c>
      <c r="H128" s="210" t="n"/>
      <c r="I128" s="210" t="n"/>
    </row>
    <row r="129">
      <c r="A129" s="210" t="inlineStr">
        <is>
          <t>16/11/2025</t>
        </is>
      </c>
      <c r="B129" s="210" t="inlineStr">
        <is>
          <t>16/11/2025</t>
        </is>
      </c>
      <c r="C129" s="209" t="inlineStr">
        <is>
          <t>בנק מזרחי</t>
        </is>
      </c>
      <c r="D129" s="210" t="n">
        <v>99020</v>
      </c>
      <c r="E129" s="210" t="n">
        <v>0</v>
      </c>
      <c r="F129" s="210" t="n">
        <v>350</v>
      </c>
      <c r="G129" s="209" t="inlineStr">
        <is>
          <t>העברה מאת: בכר שי 20-523-000260701</t>
        </is>
      </c>
      <c r="H129" s="210" t="n"/>
      <c r="I129" s="210" t="n"/>
    </row>
    <row r="130">
      <c r="A130" s="210" t="inlineStr">
        <is>
          <t>15/12/2025</t>
        </is>
      </c>
      <c r="B130" s="210" t="inlineStr">
        <is>
          <t>15/12/2025</t>
        </is>
      </c>
      <c r="C130" s="209" t="inlineStr">
        <is>
          <t>בנק מזרחי</t>
        </is>
      </c>
      <c r="D130" s="210" t="n">
        <v>99020</v>
      </c>
      <c r="E130" s="210" t="n">
        <v>0</v>
      </c>
      <c r="F130" s="210" t="n">
        <v>350</v>
      </c>
      <c r="G130" s="209" t="inlineStr">
        <is>
          <t>העברה מאת: בכר שי 20-523-000260701</t>
        </is>
      </c>
      <c r="H130" s="210" t="n"/>
      <c r="I130" s="210" t="n"/>
    </row>
    <row r="131">
      <c r="A131" s="210" t="inlineStr">
        <is>
          <t>15/01/2026</t>
        </is>
      </c>
      <c r="B131" s="210" t="inlineStr">
        <is>
          <t>15/01/2026</t>
        </is>
      </c>
      <c r="C131" s="209" t="inlineStr">
        <is>
          <t>בנק מזרחי</t>
        </is>
      </c>
      <c r="D131" s="210" t="n">
        <v>99020</v>
      </c>
      <c r="E131" s="210" t="n">
        <v>0</v>
      </c>
      <c r="F131" s="210" t="n">
        <v>350</v>
      </c>
      <c r="G131" s="209" t="inlineStr">
        <is>
          <t>העברה מאת: בכר שי 20-523-000260701</t>
        </is>
      </c>
      <c r="H131" s="210" t="n"/>
      <c r="I131" s="210" t="n"/>
    </row>
  </sheetData>
  <mergeCells count="54">
    <mergeCell ref="A92:B92"/>
    <mergeCell ref="C92:D92"/>
    <mergeCell ref="A90:I90"/>
    <mergeCell ref="C68:D68"/>
    <mergeCell ref="A26:A28"/>
    <mergeCell ref="E68:F68"/>
    <mergeCell ref="A75:I75"/>
    <mergeCell ref="A24:N24"/>
    <mergeCell ref="A89:I89"/>
    <mergeCell ref="E71:F71"/>
    <mergeCell ref="A30:N30"/>
    <mergeCell ref="A20:A22"/>
    <mergeCell ref="A66:I66"/>
    <mergeCell ref="A94:B94"/>
    <mergeCell ref="A74:I74"/>
    <mergeCell ref="A70:B70"/>
    <mergeCell ref="E92:F92"/>
    <mergeCell ref="A12:I12"/>
    <mergeCell ref="A14:A16"/>
    <mergeCell ref="A38:A40"/>
    <mergeCell ref="A32:A34"/>
    <mergeCell ref="A69:B69"/>
    <mergeCell ref="A36:N36"/>
    <mergeCell ref="A95:I95"/>
    <mergeCell ref="C94:D94"/>
    <mergeCell ref="B26:B28"/>
    <mergeCell ref="B20:B22"/>
    <mergeCell ref="E94:F94"/>
    <mergeCell ref="C93:D93"/>
    <mergeCell ref="E69:F69"/>
    <mergeCell ref="A97:I97"/>
    <mergeCell ref="B32:B34"/>
    <mergeCell ref="A96:I96"/>
    <mergeCell ref="A72:I72"/>
    <mergeCell ref="A18:N18"/>
    <mergeCell ref="A71:B71"/>
    <mergeCell ref="C71:D71"/>
    <mergeCell ref="A67:I67"/>
    <mergeCell ref="C70:D70"/>
    <mergeCell ref="E70:F70"/>
    <mergeCell ref="A91:B91"/>
    <mergeCell ref="C91:D91"/>
    <mergeCell ref="E91:F91"/>
    <mergeCell ref="A98:I98"/>
    <mergeCell ref="A73:I73"/>
    <mergeCell ref="C42:H42"/>
    <mergeCell ref="A68:B68"/>
    <mergeCell ref="A88:I88"/>
    <mergeCell ref="A93:B93"/>
    <mergeCell ref="B14:B16"/>
    <mergeCell ref="E93:F93"/>
    <mergeCell ref="B38:B40"/>
    <mergeCell ref="A87:I87"/>
    <mergeCell ref="C69:D6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Daniel Vilyatser</dc:creator>
  <dcterms:created xmlns:dcterms="http://purl.org/dc/terms/" xmlns:xsi="http://www.w3.org/2001/XMLSchema-instance" xsi:type="dcterms:W3CDTF">2025-01-14T20:35:31Z</dcterms:created>
  <dcterms:modified xmlns:dcterms="http://purl.org/dc/terms/" xmlns:xsi="http://www.w3.org/2001/XMLSchema-instance" xsi:type="dcterms:W3CDTF">2026-05-11T20:18:21Z</dcterms:modified>
  <cp:lastModifiedBy>Daniel V</cp:lastModifiedBy>
</cp:coreProperties>
</file>