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קופה קטנה" sheetId="6" state="visible" r:id="rId6"/>
    <sheet xmlns:r="http://schemas.openxmlformats.org/officeDocument/2006/relationships" name="חוב דירה 13" sheetId="7" state="visible" r:id="rId7"/>
    <sheet xmlns:r="http://schemas.openxmlformats.org/officeDocument/2006/relationships" name="פירוט_גביה_4" sheetId="8" state="visible" r:id="rId8"/>
    <sheet xmlns:r="http://schemas.openxmlformats.org/officeDocument/2006/relationships" name="פירוט_הוצאות_4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6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3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6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6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topLeftCell="A61" workbookViewId="0">
      <selection activeCell="G51" sqref="G51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12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>
        <v>0</v>
      </c>
      <c r="J2" s="62" t="n">
        <v>0</v>
      </c>
      <c r="K2" s="62" t="n">
        <v>0</v>
      </c>
      <c r="L2" s="62" t="n">
        <v>0</v>
      </c>
      <c r="M2" s="62" t="n">
        <v>0</v>
      </c>
      <c r="N2" s="62" t="n">
        <v>0</v>
      </c>
      <c r="O2" s="62" t="n">
        <v>0</v>
      </c>
      <c r="P2" s="63" t="n">
        <v>0</v>
      </c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41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s="46" t="n">
        <v>0</v>
      </c>
      <c r="Q3" t="n">
        <v>0</v>
      </c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42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s="50" t="n">
        <v>0</v>
      </c>
      <c r="P4" s="46" t="n">
        <v>0</v>
      </c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12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>
        <v>0</v>
      </c>
      <c r="J5" s="62" t="n">
        <v>0</v>
      </c>
      <c r="K5" s="62" t="n">
        <v>0</v>
      </c>
      <c r="L5" s="62" t="n">
        <v>0</v>
      </c>
      <c r="M5" s="62" t="n">
        <v>0</v>
      </c>
      <c r="N5" s="62" t="n">
        <v>0</v>
      </c>
      <c r="O5" s="63" t="n">
        <v>0</v>
      </c>
      <c r="P5" s="63" t="n">
        <v>0</v>
      </c>
      <c r="Q5" t="n">
        <v>0</v>
      </c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41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46" t="n">
        <v>0</v>
      </c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41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46" t="n">
        <v>0</v>
      </c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41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s="46" t="n">
        <v>0</v>
      </c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42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s="46" t="n">
        <v>0</v>
      </c>
      <c r="P9" s="46" t="n">
        <v>0</v>
      </c>
      <c r="Q9" t="n">
        <v>0</v>
      </c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12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3" t="n">
        <v>0</v>
      </c>
      <c r="Q10" t="n">
        <v>0</v>
      </c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41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s="46" t="n">
        <v>0</v>
      </c>
      <c r="Q11" t="n">
        <v>0</v>
      </c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41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s="46" t="n">
        <v>0</v>
      </c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41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42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s="46" t="n">
        <v>0</v>
      </c>
      <c r="Q14" t="n">
        <v>0</v>
      </c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12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>
        <v>350</v>
      </c>
      <c r="I15" s="62" t="n">
        <v>350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2" t="n">
        <v>0</v>
      </c>
      <c r="P15" s="63" t="n">
        <v>0</v>
      </c>
      <c r="Q15" t="n">
        <v>0</v>
      </c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41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46" t="n">
        <v>0</v>
      </c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41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s="46" t="n">
        <v>0</v>
      </c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41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H18" t="n">
        <v>350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s="149" t="n">
        <v>0</v>
      </c>
      <c r="P18" s="156" t="n">
        <v>0</v>
      </c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42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s="46" t="n">
        <v>0</v>
      </c>
      <c r="P19" s="46" t="n">
        <v>0</v>
      </c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12" t="n">
        <v>5</v>
      </c>
      <c r="B20" s="65" t="n">
        <v>19</v>
      </c>
      <c r="C20" s="61" t="inlineStr">
        <is>
          <t>פקרסקי</t>
        </is>
      </c>
      <c r="D20" s="62" t="n"/>
      <c r="E20" s="169" t="n">
        <v>0</v>
      </c>
      <c r="F20" s="66" t="n">
        <v>0</v>
      </c>
      <c r="G20" s="66" t="n">
        <v>0</v>
      </c>
      <c r="H20" s="66" t="n">
        <v>0</v>
      </c>
      <c r="I20" s="66" t="n">
        <v>0</v>
      </c>
      <c r="J20" s="66" t="n">
        <v>0</v>
      </c>
      <c r="K20" s="66" t="n">
        <v>0</v>
      </c>
      <c r="L20" s="66" t="n">
        <v>0</v>
      </c>
      <c r="M20" s="66" t="n">
        <v>0</v>
      </c>
      <c r="N20" s="66" t="n">
        <v>0</v>
      </c>
      <c r="O20" s="66" t="n">
        <v>0</v>
      </c>
      <c r="P20" s="67" t="n">
        <v>0</v>
      </c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41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s="46" t="n">
        <v>0</v>
      </c>
      <c r="Q21" t="n">
        <v>0</v>
      </c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41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46" t="n">
        <v>0</v>
      </c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41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s="46" t="n">
        <v>0</v>
      </c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42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s="46" t="n">
        <v>0</v>
      </c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12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>
        <v>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2" t="n">
        <v>0</v>
      </c>
      <c r="P25" s="63" t="n">
        <v>0</v>
      </c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41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s="46" t="n">
        <v>0</v>
      </c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41" t="n"/>
      <c r="B27" s="137" t="n">
        <v>26</v>
      </c>
      <c r="C27" s="47" t="inlineStr">
        <is>
          <t>שוורץ</t>
        </is>
      </c>
      <c r="E27" s="170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</v>
      </c>
      <c r="O27" s="48" t="n">
        <v>0</v>
      </c>
      <c r="P27" s="49" t="n">
        <v>0</v>
      </c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41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s="46" t="n">
        <v>0</v>
      </c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42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s="50" t="n">
        <v>0</v>
      </c>
      <c r="P29" s="46" t="n">
        <v>0</v>
      </c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12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>
        <v>0</v>
      </c>
      <c r="L30" s="62" t="n">
        <v>0</v>
      </c>
      <c r="M30" s="62" t="n">
        <v>0</v>
      </c>
      <c r="N30" s="62" t="n">
        <v>0</v>
      </c>
      <c r="O30" s="150" t="n">
        <v>0</v>
      </c>
      <c r="P30" s="157" t="n">
        <v>0</v>
      </c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41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s="149" t="n">
        <v>0</v>
      </c>
      <c r="P31" s="156" t="n">
        <v>0</v>
      </c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41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s="46" t="n">
        <v>0</v>
      </c>
      <c r="Q32" t="n">
        <v>500</v>
      </c>
      <c r="R32" t="inlineStr">
        <is>
          <t>הו"ק ב29 לכל חודש</t>
        </is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41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s="46" t="n">
        <v>0</v>
      </c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42" t="n"/>
      <c r="B34" s="137" t="n">
        <v>33</v>
      </c>
      <c r="C34" s="47" t="inlineStr">
        <is>
          <t>וילצר</t>
        </is>
      </c>
      <c r="E34" s="170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  <c r="N34" s="48" t="n">
        <v>0</v>
      </c>
      <c r="O34" s="48" t="n">
        <v>0</v>
      </c>
      <c r="P34" s="49" t="n">
        <v>0</v>
      </c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12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>
        <v>0</v>
      </c>
      <c r="J35" s="62" t="n">
        <v>0</v>
      </c>
      <c r="K35" s="62" t="n">
        <v>0</v>
      </c>
      <c r="L35" s="62" t="n">
        <v>0</v>
      </c>
      <c r="M35" s="62" t="n">
        <v>0</v>
      </c>
      <c r="N35" s="62" t="n">
        <v>0</v>
      </c>
      <c r="O35" s="62" t="n">
        <v>0</v>
      </c>
      <c r="P35" s="63" t="n">
        <v>0</v>
      </c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41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s="46" t="n">
        <v>0</v>
      </c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41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s="46" t="n">
        <v>0</v>
      </c>
      <c r="Q37" t="n">
        <v>0</v>
      </c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41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s="46" t="n">
        <v>0</v>
      </c>
      <c r="Q38" t="n">
        <v>0</v>
      </c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42" t="n"/>
      <c r="B39" s="137" t="n">
        <v>38</v>
      </c>
      <c r="C39" s="47" t="inlineStr">
        <is>
          <t>ברכה</t>
        </is>
      </c>
      <c r="E39" s="170" t="n">
        <v>0</v>
      </c>
      <c r="F39" s="48" t="n">
        <v>0</v>
      </c>
      <c r="G39" s="48" t="n">
        <v>0</v>
      </c>
      <c r="H39" s="48" t="n">
        <v>0</v>
      </c>
      <c r="I39" s="48" t="n">
        <v>0</v>
      </c>
      <c r="J39" s="48" t="n">
        <v>0</v>
      </c>
      <c r="K39" s="48" t="n">
        <v>0</v>
      </c>
      <c r="L39" s="48" t="n">
        <v>0</v>
      </c>
      <c r="M39" s="48" t="n">
        <v>0</v>
      </c>
      <c r="N39" s="48" t="n">
        <v>0</v>
      </c>
      <c r="O39" s="48" t="n">
        <v>0</v>
      </c>
      <c r="P39" s="49" t="n">
        <v>0</v>
      </c>
      <c r="Q39" t="n">
        <v>0</v>
      </c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12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2" t="n">
        <v>0</v>
      </c>
      <c r="O40" s="62" t="n">
        <v>0</v>
      </c>
      <c r="P40" s="63" t="n">
        <v>0</v>
      </c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41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>
        <v>0</v>
      </c>
      <c r="P41" s="46" t="n">
        <v>0</v>
      </c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41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s="46" t="n">
        <v>0</v>
      </c>
      <c r="Q42" t="n">
        <v>0</v>
      </c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41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s="46" t="n">
        <v>0</v>
      </c>
      <c r="Q43" t="n">
        <v>0</v>
      </c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42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s="46" t="n">
        <v>0</v>
      </c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12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>
        <v>0</v>
      </c>
      <c r="J45" s="62" t="n">
        <v>0</v>
      </c>
      <c r="K45" s="62" t="n">
        <v>0</v>
      </c>
      <c r="L45" s="62" t="n">
        <v>0</v>
      </c>
      <c r="M45" s="62" t="n">
        <v>0</v>
      </c>
      <c r="N45" s="62" t="n">
        <v>0</v>
      </c>
      <c r="O45" s="62" t="n">
        <v>0</v>
      </c>
      <c r="P45" s="63" t="n">
        <v>0</v>
      </c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41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s="46" t="n">
        <v>0</v>
      </c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41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s="46" t="n">
        <v>0</v>
      </c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41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42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s="46" t="n">
        <v>0</v>
      </c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12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>
        <v>0</v>
      </c>
      <c r="J50" s="62" t="n">
        <v>0</v>
      </c>
      <c r="K50" s="62" t="n">
        <v>0</v>
      </c>
      <c r="L50" s="62" t="n">
        <v>0</v>
      </c>
      <c r="M50" s="62" t="n">
        <v>0</v>
      </c>
      <c r="N50" s="62" t="n">
        <v>0</v>
      </c>
      <c r="O50" s="62" t="n">
        <v>0</v>
      </c>
      <c r="P50" s="63" t="n">
        <v>0</v>
      </c>
      <c r="Q50" t="n">
        <v>0</v>
      </c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41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s="149" t="n">
        <v>0</v>
      </c>
      <c r="P51" s="156" t="n">
        <v>0</v>
      </c>
      <c r="Q51" t="n">
        <v>0</v>
      </c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41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s="46" t="n">
        <v>0</v>
      </c>
      <c r="Q52" t="n">
        <v>0</v>
      </c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41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s="46" t="n">
        <v>0</v>
      </c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42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>
        <v>0</v>
      </c>
      <c r="H54" s="53" t="n">
        <v>0</v>
      </c>
      <c r="I54" s="53" t="n">
        <v>0</v>
      </c>
      <c r="J54" s="53" t="n">
        <v>0</v>
      </c>
      <c r="K54" s="53" t="n">
        <v>0</v>
      </c>
      <c r="L54" s="53" t="n">
        <v>0</v>
      </c>
      <c r="M54" s="53" t="n">
        <v>0</v>
      </c>
      <c r="N54" s="53" t="n">
        <v>0</v>
      </c>
      <c r="O54" s="152" t="n">
        <v>0</v>
      </c>
      <c r="P54" s="172" t="n">
        <v>0</v>
      </c>
      <c r="Q54" t="n">
        <v>0</v>
      </c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16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s="46" t="n">
        <v>0</v>
      </c>
      <c r="Q55" t="n">
        <v>0</v>
      </c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41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s="46" t="n">
        <v>0</v>
      </c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41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s="46" t="n">
        <v>0</v>
      </c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41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s="46" t="n">
        <v>0</v>
      </c>
      <c r="Q58" t="n">
        <v>0</v>
      </c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42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s="156" t="n">
        <v>0</v>
      </c>
      <c r="Q59" t="n">
        <v>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12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>
        <v>0</v>
      </c>
      <c r="J60" s="62" t="n">
        <v>0</v>
      </c>
      <c r="K60" s="62" t="n">
        <v>0</v>
      </c>
      <c r="L60" s="62" t="n">
        <v>0</v>
      </c>
      <c r="M60" s="62" t="n">
        <v>0</v>
      </c>
      <c r="N60" s="62" t="n">
        <v>0</v>
      </c>
      <c r="O60" s="62" t="n">
        <v>0</v>
      </c>
      <c r="P60" s="63" t="n">
        <v>0</v>
      </c>
      <c r="Q60" t="n">
        <v>0</v>
      </c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42" t="n"/>
      <c r="B61" s="59" t="n">
        <v>60</v>
      </c>
      <c r="C61" s="243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>
        <v>0</v>
      </c>
      <c r="J61" s="53" t="n">
        <v>0</v>
      </c>
      <c r="K61" s="53" t="n">
        <v>0</v>
      </c>
      <c r="L61" s="53" t="n">
        <v>0</v>
      </c>
      <c r="M61" s="53" t="n">
        <v>0</v>
      </c>
      <c r="N61" s="53" t="n">
        <v>0</v>
      </c>
      <c r="O61" s="53" t="n">
        <v>0</v>
      </c>
      <c r="P61" s="55" t="n">
        <v>0</v>
      </c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44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44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45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44" t="n"/>
    </row>
    <row r="66">
      <c r="B66" s="137" t="inlineStr">
        <is>
          <t>הכנסות נוספות</t>
        </is>
      </c>
      <c r="C66" s="244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F23" sqref="F23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1.71093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</row>
    <row r="2">
      <c r="A2" s="18" t="inlineStr">
        <is>
          <t>יניב אחזקות</t>
        </is>
      </c>
      <c r="B2" s="246" t="n">
        <v>7500</v>
      </c>
      <c r="C2" s="246" t="n">
        <v>7500</v>
      </c>
      <c r="D2" s="246" t="n">
        <v>7500</v>
      </c>
      <c r="E2" s="246" t="n">
        <v>7500</v>
      </c>
      <c r="F2" s="246" t="n">
        <v>0</v>
      </c>
      <c r="G2" s="246" t="n">
        <v>0</v>
      </c>
      <c r="H2" s="246" t="n">
        <v>0</v>
      </c>
      <c r="I2" s="246" t="n">
        <v>0</v>
      </c>
      <c r="J2" s="246" t="n">
        <v>0</v>
      </c>
      <c r="K2" s="246" t="n">
        <v>0</v>
      </c>
      <c r="L2" s="246" t="n">
        <v>0</v>
      </c>
      <c r="M2" s="246" t="n">
        <v>0</v>
      </c>
      <c r="N2" s="247">
        <f>AVERAGE(Table2[[#This Row],[ינואר 25]:[דצמבר 25]])</f>
        <v/>
      </c>
      <c r="O2" s="248">
        <f>SUM(Table2[[#This Row],[ינואר 25]:[דצמבר 25]])</f>
        <v/>
      </c>
    </row>
    <row r="3">
      <c r="A3" s="18" t="inlineStr">
        <is>
          <t>קונה מעליות</t>
        </is>
      </c>
      <c r="B3" s="246" t="n">
        <v>4361.79</v>
      </c>
      <c r="C3" s="246" t="n">
        <v>4361.79</v>
      </c>
      <c r="D3" s="246" t="n">
        <v>4549.48</v>
      </c>
      <c r="E3" s="246" t="n">
        <v>4558.28</v>
      </c>
      <c r="F3" s="246" t="n">
        <v>0</v>
      </c>
      <c r="G3" s="246" t="n">
        <v>0</v>
      </c>
      <c r="H3" s="246" t="n">
        <v>0</v>
      </c>
      <c r="I3" s="246" t="n">
        <v>0</v>
      </c>
      <c r="J3" s="246" t="n">
        <v>0</v>
      </c>
      <c r="K3" s="246" t="n">
        <v>0</v>
      </c>
      <c r="L3" s="246" t="n">
        <v>0</v>
      </c>
      <c r="M3" s="246" t="n">
        <v>0</v>
      </c>
      <c r="N3" s="247">
        <f>AVERAGE(Table2[[#This Row],[ינואר 25]:[דצמבר 25]])</f>
        <v/>
      </c>
      <c r="O3" s="248">
        <f>SUM(Table2[[#This Row],[ינואר 25]:[דצמבר 25]])</f>
        <v/>
      </c>
    </row>
    <row r="4">
      <c r="A4" s="18" t="inlineStr">
        <is>
          <t>חשמל ציבורי</t>
        </is>
      </c>
      <c r="B4" s="246" t="n">
        <v>3545.6</v>
      </c>
      <c r="C4" s="246" t="n">
        <v>3595.06</v>
      </c>
      <c r="D4" s="246" t="n">
        <v>3233.77</v>
      </c>
      <c r="E4" s="246" t="n">
        <v>3353.66</v>
      </c>
      <c r="F4" s="246" t="n">
        <v>0</v>
      </c>
      <c r="G4" s="246" t="n">
        <v>0</v>
      </c>
      <c r="H4" s="246" t="n">
        <v>0</v>
      </c>
      <c r="I4" s="246" t="n">
        <v>0</v>
      </c>
      <c r="J4" s="246" t="n">
        <v>0</v>
      </c>
      <c r="K4" s="246" t="n">
        <v>0</v>
      </c>
      <c r="L4" s="246" t="n">
        <v>0</v>
      </c>
      <c r="M4" s="246" t="n">
        <v>0</v>
      </c>
      <c r="N4" s="247">
        <f>AVERAGE(Table2[[#This Row],[ינואר 25]:[דצמבר 25]])</f>
        <v/>
      </c>
      <c r="O4" s="248">
        <f>SUM(Table2[[#This Row],[ינואר 25]:[דצמבר 25]])</f>
        <v/>
      </c>
    </row>
    <row r="5">
      <c r="A5" s="18" t="inlineStr">
        <is>
          <t>גינון</t>
        </is>
      </c>
      <c r="B5" s="246" t="n">
        <v>1500</v>
      </c>
      <c r="C5" s="246" t="n">
        <v>900</v>
      </c>
      <c r="D5" s="246" t="n">
        <v>900</v>
      </c>
      <c r="E5" s="246" t="n">
        <v>900</v>
      </c>
      <c r="F5" s="246" t="n">
        <v>0</v>
      </c>
      <c r="G5" s="246" t="n">
        <v>0</v>
      </c>
      <c r="H5" s="246" t="n">
        <v>0</v>
      </c>
      <c r="I5" s="246" t="n">
        <v>0</v>
      </c>
      <c r="J5" s="246" t="n">
        <v>0</v>
      </c>
      <c r="K5" s="246" t="n">
        <v>0</v>
      </c>
      <c r="L5" s="246" t="n">
        <v>0</v>
      </c>
      <c r="M5" s="246" t="n">
        <v>0</v>
      </c>
      <c r="N5" s="247">
        <f>AVERAGE(Table2[[#This Row],[ינואר 25]:[דצמבר 25]])</f>
        <v/>
      </c>
      <c r="O5" s="248">
        <f>SUM(Table2[[#This Row],[ינואר 25]:[דצמבר 25]])</f>
        <v/>
      </c>
    </row>
    <row r="6">
      <c r="A6" s="18" t="inlineStr">
        <is>
          <t>ביטוח</t>
        </is>
      </c>
      <c r="B6" s="246" t="n">
        <v>981</v>
      </c>
      <c r="C6" s="246" t="n">
        <v>982</v>
      </c>
      <c r="D6" s="246" t="n">
        <v>979</v>
      </c>
      <c r="E6" s="246" t="n">
        <v>981</v>
      </c>
      <c r="F6" s="246" t="n">
        <v>0</v>
      </c>
      <c r="G6" s="246" t="n">
        <v>0</v>
      </c>
      <c r="H6" s="246" t="n">
        <v>0</v>
      </c>
      <c r="I6" s="246" t="n">
        <v>0</v>
      </c>
      <c r="J6" s="246" t="n">
        <v>0</v>
      </c>
      <c r="K6" s="246" t="n">
        <v>0</v>
      </c>
      <c r="L6" s="246" t="n">
        <v>0</v>
      </c>
      <c r="M6" s="246" t="n">
        <v>0</v>
      </c>
      <c r="N6" s="247">
        <f>AVERAGE(Table2[[#This Row],[ינואר 25]:[דצמבר 25]])</f>
        <v/>
      </c>
      <c r="O6" s="248">
        <f>SUM(Table2[[#This Row],[ינואר 25]:[דצמבר 25]])</f>
        <v/>
      </c>
    </row>
    <row r="7">
      <c r="A7" s="18" t="inlineStr">
        <is>
          <t>ארדן בטיחות</t>
        </is>
      </c>
      <c r="B7" s="246" t="n">
        <v>780.11</v>
      </c>
      <c r="C7" s="246" t="n">
        <v>780.11</v>
      </c>
      <c r="D7" s="246" t="n">
        <v>780.11</v>
      </c>
      <c r="E7" s="246" t="n">
        <v>0</v>
      </c>
      <c r="F7" s="246" t="n">
        <v>0</v>
      </c>
      <c r="G7" s="246" t="n">
        <v>0</v>
      </c>
      <c r="H7" s="246" t="n">
        <v>0</v>
      </c>
      <c r="I7" s="246" t="n">
        <v>0</v>
      </c>
      <c r="J7" s="246" t="n">
        <v>0</v>
      </c>
      <c r="K7" s="246" t="n">
        <v>0</v>
      </c>
      <c r="L7" s="246" t="n">
        <v>0</v>
      </c>
      <c r="M7" s="246" t="n">
        <v>0</v>
      </c>
      <c r="N7" s="247">
        <f>AVERAGE(Table2[[#This Row],[ינואר 25]:[דצמבר 25]])</f>
        <v/>
      </c>
      <c r="O7" s="248">
        <f>SUM(Table2[[#This Row],[ינואר 25]:[דצמבר 25]])</f>
        <v/>
      </c>
    </row>
    <row r="8">
      <c r="A8" s="18" t="inlineStr">
        <is>
          <t>פרטנר</t>
        </is>
      </c>
      <c r="B8" s="246" t="n">
        <v>90.77</v>
      </c>
      <c r="C8" s="246" t="n">
        <v>90.77</v>
      </c>
      <c r="D8" s="246" t="n">
        <v>90.77</v>
      </c>
      <c r="E8" s="246" t="n">
        <v>90.77</v>
      </c>
      <c r="F8" s="246" t="n">
        <v>0</v>
      </c>
      <c r="G8" s="246" t="n">
        <v>0</v>
      </c>
      <c r="H8" s="246" t="n">
        <v>0</v>
      </c>
      <c r="I8" s="246" t="n">
        <v>0</v>
      </c>
      <c r="J8" s="246" t="n">
        <v>0</v>
      </c>
      <c r="K8" s="246" t="n">
        <v>0</v>
      </c>
      <c r="L8" s="246" t="n">
        <v>0</v>
      </c>
      <c r="M8" s="246" t="n">
        <v>0</v>
      </c>
      <c r="N8" s="247">
        <f>AVERAGE(Table2[[#This Row],[ינואר 25]:[דצמבר 25]])</f>
        <v/>
      </c>
      <c r="O8" s="248">
        <f>SUM(Table2[[#This Row],[ינואר 25]:[דצמבר 25]])</f>
        <v/>
      </c>
    </row>
    <row r="9">
      <c r="A9" s="200" t="inlineStr">
        <is>
          <t>Novula - מסך טלויזיה</t>
        </is>
      </c>
      <c r="B9" s="246" t="n">
        <v>0</v>
      </c>
      <c r="C9" s="246" t="n">
        <v>0</v>
      </c>
      <c r="D9" s="246" t="n">
        <v>0</v>
      </c>
      <c r="E9" s="246" t="n">
        <v>77</v>
      </c>
      <c r="F9" s="246" t="n">
        <v>0</v>
      </c>
      <c r="G9" s="246" t="n">
        <v>0</v>
      </c>
      <c r="H9" s="246" t="n">
        <v>0</v>
      </c>
      <c r="I9" s="246" t="n">
        <v>0</v>
      </c>
      <c r="J9" s="246" t="n">
        <v>0</v>
      </c>
      <c r="K9" s="246" t="n">
        <v>0</v>
      </c>
      <c r="L9" s="246" t="n">
        <v>0</v>
      </c>
      <c r="M9" s="246" t="n">
        <v>0</v>
      </c>
      <c r="N9" s="247">
        <f>AVERAGE(Table2[[#This Row],[ינואר 25]:[דצמבר 25]])</f>
        <v/>
      </c>
      <c r="O9" s="248">
        <f>SUM(Table2[[#This Row],[ינואר 25]:[דצמבר 25]])</f>
        <v/>
      </c>
    </row>
    <row r="10">
      <c r="A10" s="18" t="inlineStr">
        <is>
          <t>בזק</t>
        </is>
      </c>
      <c r="B10" s="246" t="n">
        <v>24.57</v>
      </c>
      <c r="C10" s="246" t="n">
        <v>0</v>
      </c>
      <c r="D10" s="246" t="n">
        <v>0</v>
      </c>
      <c r="E10" s="246" t="n">
        <v>24.57</v>
      </c>
      <c r="F10" s="246" t="n">
        <v>0</v>
      </c>
      <c r="G10" s="246" t="n">
        <v>0</v>
      </c>
      <c r="H10" s="246" t="n">
        <v>0</v>
      </c>
      <c r="I10" s="246" t="n">
        <v>0</v>
      </c>
      <c r="J10" s="246" t="n">
        <v>0</v>
      </c>
      <c r="K10" s="246" t="n">
        <v>0</v>
      </c>
      <c r="L10" s="246" t="n">
        <v>0</v>
      </c>
      <c r="M10" s="246" t="n">
        <v>0</v>
      </c>
      <c r="N10" s="247">
        <f>AVERAGE(Table2[[#This Row],[ינואר 25]:[דצמבר 25]])</f>
        <v/>
      </c>
      <c r="O10" s="248">
        <f>SUM(Table2[[#This Row],[ינואר 25]:[דצמבר 25]])</f>
        <v/>
      </c>
    </row>
    <row r="11">
      <c r="A11" s="18" t="inlineStr">
        <is>
          <t>מסלול בנק</t>
        </is>
      </c>
      <c r="B11" s="246" t="n">
        <v>25</v>
      </c>
      <c r="C11" s="246" t="n">
        <v>25</v>
      </c>
      <c r="D11" s="246" t="n">
        <v>25</v>
      </c>
      <c r="E11" s="246" t="n">
        <v>25</v>
      </c>
      <c r="F11" s="246" t="n">
        <v>0</v>
      </c>
      <c r="G11" s="246" t="n">
        <v>0</v>
      </c>
      <c r="H11" s="246" t="n">
        <v>0</v>
      </c>
      <c r="I11" s="246" t="n">
        <v>0</v>
      </c>
      <c r="J11" s="246" t="n">
        <v>0</v>
      </c>
      <c r="K11" s="246" t="n">
        <v>0</v>
      </c>
      <c r="L11" s="246" t="n">
        <v>0</v>
      </c>
      <c r="M11" s="246" t="n">
        <v>0</v>
      </c>
      <c r="N11" s="247">
        <f>AVERAGE(Table2[[#This Row],[ינואר 25]:[דצמבר 25]])</f>
        <v/>
      </c>
      <c r="O11" s="248">
        <f>SUM(Table2[[#This Row],[ינואר 25]:[דצמבר 25]])</f>
        <v/>
      </c>
    </row>
    <row r="12">
      <c r="A12" s="19" t="inlineStr">
        <is>
          <t>עמלות בנק</t>
        </is>
      </c>
      <c r="B12" s="249" t="n">
        <v>14.85</v>
      </c>
      <c r="C12" s="249" t="n">
        <v>14.85</v>
      </c>
      <c r="D12" s="249" t="n">
        <v>24.75</v>
      </c>
      <c r="E12" s="249" t="n">
        <v>26.4</v>
      </c>
      <c r="F12" s="249" t="n">
        <v>0</v>
      </c>
      <c r="G12" s="249" t="n">
        <v>0</v>
      </c>
      <c r="H12" s="249" t="n">
        <v>0</v>
      </c>
      <c r="I12" s="249" t="n">
        <v>0</v>
      </c>
      <c r="J12" s="249" t="n">
        <v>0</v>
      </c>
      <c r="K12" s="249" t="n">
        <v>0</v>
      </c>
      <c r="L12" s="249" t="n">
        <v>0</v>
      </c>
      <c r="M12" s="249" t="n">
        <v>0</v>
      </c>
      <c r="N12" s="247">
        <f>AVERAGE(Table2[[#This Row],[ינואר 25]:[דצמבר 25]])</f>
        <v/>
      </c>
      <c r="O12" s="248">
        <f>SUM(Table2[[#This Row],[ינואר 25]:[דצמבר 25]])</f>
        <v/>
      </c>
    </row>
    <row r="13">
      <c r="A13" s="19" t="inlineStr">
        <is>
          <t>כללי</t>
        </is>
      </c>
      <c r="B13" s="249" t="n">
        <v>606</v>
      </c>
      <c r="C13" s="249" t="n">
        <v>0</v>
      </c>
      <c r="D13" s="249" t="n">
        <v>6500</v>
      </c>
      <c r="E13" s="249" t="n">
        <v>0</v>
      </c>
      <c r="F13" s="249" t="n">
        <v>0</v>
      </c>
      <c r="G13" s="249" t="n">
        <v>0</v>
      </c>
      <c r="H13" s="249" t="n">
        <v>0</v>
      </c>
      <c r="I13" s="249" t="n">
        <v>0</v>
      </c>
      <c r="J13" s="249" t="n">
        <v>0</v>
      </c>
      <c r="K13" s="249" t="n">
        <v>0</v>
      </c>
      <c r="L13" s="249" t="n">
        <v>0</v>
      </c>
      <c r="M13" s="249" t="n">
        <v>0</v>
      </c>
      <c r="N13" s="247" t="n"/>
      <c r="O13" s="248" t="n"/>
    </row>
    <row r="14">
      <c r="A14" s="19" t="inlineStr">
        <is>
          <t>קופה קטנה</t>
        </is>
      </c>
      <c r="B14" s="249" t="n">
        <v>0</v>
      </c>
      <c r="C14" s="249" t="n">
        <v>0</v>
      </c>
      <c r="D14" s="249" t="n">
        <v>0</v>
      </c>
      <c r="E14" s="249" t="n">
        <v>0</v>
      </c>
      <c r="F14" s="249" t="n">
        <v>0</v>
      </c>
      <c r="G14" s="249" t="n">
        <v>0</v>
      </c>
      <c r="H14" s="249" t="n">
        <v>0</v>
      </c>
      <c r="I14" s="249" t="n">
        <v>0</v>
      </c>
      <c r="J14" s="249" t="n">
        <v>0</v>
      </c>
      <c r="K14" s="249" t="n">
        <v>0</v>
      </c>
      <c r="L14" s="249" t="n">
        <v>0</v>
      </c>
      <c r="M14" s="249" t="n">
        <v>0</v>
      </c>
      <c r="N14" s="247" t="n"/>
      <c r="O14" s="248" t="n"/>
    </row>
    <row r="15">
      <c r="A15" s="19" t="n"/>
      <c r="B15" s="249" t="n"/>
      <c r="C15" s="249" t="n"/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7" t="n"/>
      <c r="O15" s="248" t="n"/>
    </row>
    <row r="16">
      <c r="A16" s="27" t="inlineStr">
        <is>
          <t>הוצאות שוטף</t>
        </is>
      </c>
      <c r="B16" s="250" t="n">
        <v>0</v>
      </c>
      <c r="C16" s="250" t="n">
        <v>0</v>
      </c>
      <c r="D16" s="250" t="n">
        <v>0</v>
      </c>
      <c r="E16" s="250" t="n">
        <v>0</v>
      </c>
      <c r="F16" s="250" t="n">
        <v>0</v>
      </c>
      <c r="G16" s="250" t="n">
        <v>0</v>
      </c>
      <c r="H16" s="250" t="n">
        <v>0</v>
      </c>
      <c r="I16" s="250" t="n">
        <v>0</v>
      </c>
      <c r="J16" s="250" t="n">
        <v>0</v>
      </c>
      <c r="K16" s="250" t="n">
        <v>0</v>
      </c>
      <c r="L16" s="250" t="n">
        <v>0</v>
      </c>
      <c r="M16" s="250" t="n">
        <v>0</v>
      </c>
      <c r="N16" s="251">
        <f>AVERAGE(Table2[[#This Row],[ינואר 25]:[דצמבר 25]])</f>
        <v/>
      </c>
      <c r="O16" s="252">
        <f>SUM(Table2[[#This Row],[ינואר 25]:[דצמבר 25]])</f>
        <v/>
      </c>
    </row>
    <row r="17">
      <c r="A17" s="32" t="inlineStr">
        <is>
          <t>הוצאות לא שוטף</t>
        </is>
      </c>
      <c r="B17" s="250" t="n">
        <v>0</v>
      </c>
      <c r="C17" s="250" t="n">
        <v>0</v>
      </c>
      <c r="D17" s="250" t="n">
        <v>0</v>
      </c>
      <c r="E17" s="250" t="n">
        <v>0</v>
      </c>
      <c r="F17" s="250" t="n">
        <v>0</v>
      </c>
      <c r="G17" s="250" t="n">
        <v>0</v>
      </c>
      <c r="H17" s="250" t="n">
        <v>0</v>
      </c>
      <c r="I17" s="250" t="n">
        <v>0</v>
      </c>
      <c r="J17" s="250" t="n">
        <v>0</v>
      </c>
      <c r="K17" s="250" t="n">
        <v>0</v>
      </c>
      <c r="L17" s="250" t="n">
        <v>0</v>
      </c>
      <c r="M17" s="250" t="n">
        <v>0</v>
      </c>
      <c r="N17" s="247">
        <f>AVERAGE(Table2[[#This Row],[ינואר 25]:[דצמבר 25]])</f>
        <v/>
      </c>
      <c r="O17" s="248">
        <f>SUM(Table2[[#This Row],[ינואר 25]:[דצמבר 25]])</f>
        <v/>
      </c>
    </row>
    <row r="18">
      <c r="A18" t="inlineStr">
        <is>
          <t>הוצאות סה"כ</t>
        </is>
      </c>
      <c r="B18" s="250" t="n">
        <v>0</v>
      </c>
      <c r="C18" s="250" t="n">
        <v>0</v>
      </c>
      <c r="D18" s="250" t="n">
        <v>0</v>
      </c>
      <c r="E18" s="250" t="n">
        <v>0</v>
      </c>
      <c r="F18" s="250" t="n">
        <v>0</v>
      </c>
      <c r="G18" s="250" t="n">
        <v>0</v>
      </c>
      <c r="H18" s="250" t="n">
        <v>0</v>
      </c>
      <c r="I18" s="250" t="n">
        <v>0</v>
      </c>
      <c r="J18" s="250" t="n">
        <v>0</v>
      </c>
      <c r="K18" s="250" t="n">
        <v>0</v>
      </c>
      <c r="L18" s="250" t="n">
        <v>0</v>
      </c>
      <c r="M18" s="250" t="n">
        <v>0</v>
      </c>
      <c r="N18" s="247">
        <f>AVERAGE(Table2[[#This Row],[ינואר 25]:[דצמבר 25]])</f>
        <v/>
      </c>
      <c r="O18" s="248">
        <f>SUM(Table2[[#This Row],[ינואר 25]:[דצמבר 25]])</f>
        <v/>
      </c>
    </row>
    <row r="19">
      <c r="A19" t="inlineStr">
        <is>
          <t>הכנסות שוטף</t>
        </is>
      </c>
      <c r="B19" s="246" t="n">
        <v>0</v>
      </c>
      <c r="C19" s="246" t="n">
        <v>0</v>
      </c>
      <c r="D19" s="246" t="n">
        <v>0</v>
      </c>
      <c r="E19" s="246" t="n">
        <v>0</v>
      </c>
      <c r="F19" s="246" t="n">
        <v>0</v>
      </c>
      <c r="G19" s="246" t="n">
        <v>0</v>
      </c>
      <c r="H19" s="246" t="n">
        <v>0</v>
      </c>
      <c r="I19" s="246" t="n">
        <v>0</v>
      </c>
      <c r="J19" s="246" t="n">
        <v>0</v>
      </c>
      <c r="K19" s="246" t="n">
        <v>0</v>
      </c>
      <c r="L19" s="246" t="n">
        <v>0</v>
      </c>
      <c r="M19" s="246" t="n">
        <v>0</v>
      </c>
      <c r="N19" s="247">
        <f>AVERAGE(Table2[[#This Row],[ינואר 25]:[דצמבר 25]])</f>
        <v/>
      </c>
      <c r="O19" s="248">
        <f>SUM(Table2[[#This Row],[ינואר 25]:[דצמבר 25]])</f>
        <v/>
      </c>
    </row>
    <row r="20">
      <c r="A20" t="inlineStr">
        <is>
          <t>יחס שוטף הכנסות/הוצאות</t>
        </is>
      </c>
      <c r="B20" s="195" t="n">
        <v>0</v>
      </c>
      <c r="C20" s="195" t="n">
        <v>0</v>
      </c>
      <c r="D20" s="195" t="n">
        <v>0</v>
      </c>
      <c r="E20" s="195" t="n">
        <v>0</v>
      </c>
      <c r="F20" s="195" t="n">
        <v>0</v>
      </c>
      <c r="G20" s="195" t="n">
        <v>0</v>
      </c>
      <c r="H20" s="195" t="n">
        <v>0</v>
      </c>
      <c r="I20" s="195" t="n">
        <v>0</v>
      </c>
      <c r="J20" s="195" t="n">
        <v>0</v>
      </c>
      <c r="K20" s="195" t="n">
        <v>0</v>
      </c>
      <c r="L20" s="195" t="n">
        <v>0</v>
      </c>
      <c r="M20" s="195" t="n">
        <v>0</v>
      </c>
      <c r="N20" s="247">
        <f>AVERAGE(Table2[[#This Row],[ינואר 25]:[דצמבר 25]])</f>
        <v/>
      </c>
      <c r="O20" s="248">
        <f>SUM(Table2[[#This Row],[ינואר 25]:[דצמבר 25]])</f>
        <v/>
      </c>
    </row>
    <row r="23" ht="57.75" customHeight="1" s="177">
      <c r="A23" t="inlineStr">
        <is>
          <t>הערות</t>
        </is>
      </c>
      <c r="B23" s="176" t="n">
        <v>0</v>
      </c>
      <c r="C23" s="176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31">
      <c r="A31" s="159" t="inlineStr">
        <is>
          <t>חשמל 2025</t>
        </is>
      </c>
      <c r="B31" s="253" t="n">
        <v>3418.26</v>
      </c>
      <c r="C31" s="253" t="n">
        <v>3709.15</v>
      </c>
      <c r="D31" s="253" t="n">
        <v>3132.7</v>
      </c>
      <c r="E31" s="253" t="n">
        <v>2419.7</v>
      </c>
      <c r="F31" s="253" t="n">
        <v>2815.9</v>
      </c>
      <c r="G31" s="253" t="n">
        <v>2654.16</v>
      </c>
      <c r="H31" s="253" t="n">
        <v>4136.59</v>
      </c>
      <c r="I31" s="253" t="n">
        <v>4659.15</v>
      </c>
      <c r="J31" s="253" t="n">
        <v>3864.61</v>
      </c>
      <c r="K31" s="253" t="n">
        <v>3852.93</v>
      </c>
      <c r="L31" s="253" t="n">
        <v>2405.74</v>
      </c>
      <c r="M31" s="253" t="n">
        <v>2342.94</v>
      </c>
      <c r="N31" s="254">
        <f>AVERAGE(Table2[[#This Row],[ינואר 25]:[דצמבר 25]])</f>
        <v/>
      </c>
      <c r="O31" s="255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17" t="inlineStr">
        <is>
          <t>בנק לאומי |</t>
        </is>
      </c>
    </row>
    <row r="2">
      <c r="A2" s="218" t="inlineStr">
        <is>
          <t>מס' חשבון : ‏‏ ‎885-37554/82‎</t>
        </is>
      </c>
    </row>
    <row r="3">
      <c r="A3" s="218" t="inlineStr">
        <is>
          <t>תאריך שמירה/הדפסה: 9/2/2026</t>
        </is>
      </c>
    </row>
    <row r="4">
      <c r="A4" s="219" t="n"/>
    </row>
    <row r="5" ht="15.75" customHeight="1" s="177">
      <c r="A5" s="220" t="inlineStr">
        <is>
          <t>היתרה</t>
        </is>
      </c>
      <c r="C5" s="221" t="inlineStr">
        <is>
          <t>מסגרת האשראי</t>
        </is>
      </c>
      <c r="E5" s="222" t="inlineStr">
        <is>
          <t>נכון לתאריך</t>
        </is>
      </c>
      <c r="G5" s="182" t="n"/>
      <c r="H5" s="182" t="n"/>
      <c r="I5" s="182" t="n"/>
    </row>
    <row r="6">
      <c r="A6" s="218" t="n"/>
      <c r="C6" s="223" t="n"/>
      <c r="E6" s="224" t="n"/>
      <c r="G6" s="182" t="n"/>
      <c r="H6" s="182" t="n"/>
      <c r="I6" s="182" t="n"/>
    </row>
    <row r="7">
      <c r="A7" s="225" t="inlineStr">
        <is>
          <t>₪ 22,270.89</t>
        </is>
      </c>
      <c r="C7" s="226" t="inlineStr">
        <is>
          <t>₪ 0.00</t>
        </is>
      </c>
      <c r="E7" s="227" t="inlineStr">
        <is>
          <t>09.02.26</t>
        </is>
      </c>
      <c r="G7" s="182" t="n"/>
      <c r="H7" s="182" t="n"/>
      <c r="I7" s="182" t="n"/>
    </row>
    <row r="8">
      <c r="A8" s="225" t="inlineStr">
        <is>
          <t>* כולל תנועות היום</t>
        </is>
      </c>
      <c r="C8" s="223" t="n"/>
      <c r="E8" s="224" t="n"/>
      <c r="G8" s="182" t="n"/>
      <c r="H8" s="182" t="n"/>
      <c r="I8" s="182" t="n"/>
    </row>
    <row r="9">
      <c r="A9" s="228" t="n"/>
    </row>
    <row r="10">
      <c r="A10" s="228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C7:D7"/>
    <mergeCell ref="A7:B7"/>
    <mergeCell ref="A10:I10"/>
    <mergeCell ref="E7:F7"/>
    <mergeCell ref="A2:I2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29" t="inlineStr">
        <is>
          <t>בנק לאומי |</t>
        </is>
      </c>
    </row>
    <row r="2">
      <c r="A2" s="229" t="inlineStr">
        <is>
          <t>מס' חשבון : ‏‏ ‎885-37554/82‎</t>
        </is>
      </c>
    </row>
    <row r="3">
      <c r="A3" s="229" t="inlineStr">
        <is>
          <t>תאריך שמירה/הדפסה: 11/3/2026</t>
        </is>
      </c>
    </row>
    <row r="4">
      <c r="A4" s="230" t="n"/>
    </row>
    <row r="5">
      <c r="A5" s="229" t="inlineStr">
        <is>
          <t>היתרה</t>
        </is>
      </c>
      <c r="C5" s="229" t="inlineStr">
        <is>
          <t>מסגרת האשראי</t>
        </is>
      </c>
      <c r="E5" s="229" t="inlineStr">
        <is>
          <t>נכון לתאריך</t>
        </is>
      </c>
      <c r="G5" s="230" t="n"/>
      <c r="H5" s="230" t="n"/>
      <c r="I5" s="230" t="n"/>
    </row>
    <row r="6">
      <c r="A6" s="230" t="n"/>
      <c r="C6" s="230" t="n"/>
      <c r="E6" s="230" t="n"/>
      <c r="G6" s="230" t="n"/>
      <c r="H6" s="230" t="n"/>
      <c r="I6" s="230" t="n"/>
    </row>
    <row r="7">
      <c r="A7" s="230" t="inlineStr">
        <is>
          <t>₪ 23,564.48</t>
        </is>
      </c>
      <c r="C7" s="230" t="inlineStr">
        <is>
          <t>₪ 0.00</t>
        </is>
      </c>
      <c r="E7" s="230" t="inlineStr">
        <is>
          <t>11.03.26</t>
        </is>
      </c>
      <c r="G7" s="230" t="n"/>
      <c r="H7" s="230" t="n"/>
      <c r="I7" s="230" t="n"/>
    </row>
    <row r="8">
      <c r="A8" s="230" t="inlineStr">
        <is>
          <t>* כולל תנועות היום</t>
        </is>
      </c>
      <c r="C8" s="230" t="n"/>
      <c r="E8" s="230" t="n"/>
      <c r="G8" s="230" t="n"/>
      <c r="H8" s="230" t="n"/>
      <c r="I8" s="230" t="n"/>
    </row>
    <row r="9">
      <c r="A9" s="230" t="n"/>
    </row>
    <row r="10">
      <c r="A10" s="230" t="n"/>
    </row>
    <row r="11">
      <c r="A11" s="23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29" t="inlineStr">
        <is>
          <t>תנועות בחשבון</t>
        </is>
      </c>
    </row>
    <row r="13">
      <c r="A13" s="229" t="inlineStr">
        <is>
          <t>תאריך</t>
        </is>
      </c>
      <c r="B13" s="229" t="inlineStr">
        <is>
          <t>תאריך ערך</t>
        </is>
      </c>
      <c r="C13" s="229" t="inlineStr">
        <is>
          <t>תיאור</t>
        </is>
      </c>
      <c r="D13" s="229" t="inlineStr">
        <is>
          <t>אסמכתא</t>
        </is>
      </c>
      <c r="E13" s="229" t="inlineStr">
        <is>
          <t>בחובה</t>
        </is>
      </c>
      <c r="F13" s="229" t="inlineStr">
        <is>
          <t>בזכות</t>
        </is>
      </c>
      <c r="G13" s="229" t="inlineStr">
        <is>
          <t>היתרה בש"ח</t>
        </is>
      </c>
      <c r="H13" s="229" t="inlineStr">
        <is>
          <t>תאור מורחב</t>
        </is>
      </c>
      <c r="I13" s="229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56" t="n">
        <v>10266</v>
      </c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</row>
    <row r="3">
      <c r="A3" t="inlineStr">
        <is>
          <t>אינטרקום - אבני שפה</t>
        </is>
      </c>
      <c r="B3" s="256" t="n">
        <v>500</v>
      </c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  <c r="P3" s="32" t="n"/>
      <c r="Q3" s="32" t="n"/>
      <c r="R3" s="33" t="n"/>
    </row>
    <row r="4">
      <c r="A4" t="inlineStr">
        <is>
          <t>אינטרקום</t>
        </is>
      </c>
      <c r="B4" s="256" t="n"/>
      <c r="C4" s="256" t="n">
        <v>14350</v>
      </c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</row>
    <row r="5">
      <c r="A5" t="inlineStr">
        <is>
          <t>אבני שפה כניסה קדמית</t>
        </is>
      </c>
      <c r="B5" s="256" t="n"/>
      <c r="C5" s="256" t="n">
        <v>700</v>
      </c>
      <c r="D5" s="256" t="n"/>
      <c r="E5" s="256" t="n"/>
      <c r="F5" s="256" t="n"/>
      <c r="G5" s="256" t="n"/>
      <c r="H5" s="256" t="n"/>
      <c r="I5" s="256" t="n"/>
      <c r="J5" s="256" t="n"/>
      <c r="K5" s="256" t="n"/>
      <c r="L5" s="256" t="n"/>
      <c r="M5" s="256" t="n"/>
    </row>
    <row r="6">
      <c r="B6" s="256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</row>
    <row r="7"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</row>
    <row r="8">
      <c r="B8" s="256" t="n"/>
      <c r="C8" s="256" t="n"/>
      <c r="D8" s="256" t="n"/>
      <c r="E8" s="256" t="n"/>
      <c r="F8" s="256" t="n"/>
      <c r="G8" s="256" t="n"/>
      <c r="H8" s="256" t="n"/>
      <c r="I8" s="256" t="n"/>
      <c r="J8" s="256" t="n"/>
      <c r="K8" s="256" t="n"/>
      <c r="L8" s="256" t="n"/>
      <c r="M8" s="256" t="n"/>
    </row>
    <row r="9">
      <c r="B9" s="256" t="n"/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M9" s="256" t="n"/>
    </row>
    <row r="10"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</row>
    <row r="11">
      <c r="B11" s="256" t="n"/>
      <c r="C11" s="256" t="n"/>
      <c r="D11" s="256" t="n"/>
      <c r="E11" s="256" t="n"/>
      <c r="F11" s="256" t="n"/>
      <c r="G11" s="256" t="n"/>
      <c r="H11" s="256" t="n"/>
      <c r="I11" s="256" t="n"/>
      <c r="J11" s="256" t="n"/>
      <c r="K11" s="256" t="n"/>
      <c r="L11" s="256" t="n"/>
      <c r="M11" s="256" t="n"/>
    </row>
    <row r="12">
      <c r="B12" s="256" t="n"/>
      <c r="C12" s="256" t="n"/>
      <c r="D12" s="256" t="n"/>
      <c r="E12" s="256" t="n"/>
      <c r="F12" s="256" t="n"/>
      <c r="G12" s="256" t="n"/>
      <c r="H12" s="256" t="n"/>
      <c r="I12" s="256" t="n"/>
      <c r="J12" s="256" t="n"/>
      <c r="K12" s="256" t="n"/>
      <c r="L12" s="256" t="n"/>
      <c r="M12" s="256" t="n"/>
    </row>
    <row r="13"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</row>
    <row r="14"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</row>
    <row r="15">
      <c r="B15" s="256" t="n"/>
      <c r="C15" s="256" t="n"/>
      <c r="D15" s="256" t="n"/>
      <c r="E15" s="256" t="n"/>
      <c r="F15" s="256" t="n"/>
      <c r="G15" s="256" t="n"/>
      <c r="H15" s="256" t="n"/>
      <c r="I15" s="256" t="n"/>
      <c r="J15" s="256" t="n"/>
      <c r="K15" s="256" t="n"/>
      <c r="L15" s="256" t="n"/>
      <c r="M15" s="256" t="n"/>
    </row>
    <row r="16">
      <c r="B16" s="256" t="n"/>
      <c r="C16" s="256" t="n"/>
      <c r="D16" s="256" t="n"/>
      <c r="E16" s="256" t="n"/>
      <c r="F16" s="256" t="n"/>
      <c r="G16" s="256" t="n"/>
      <c r="H16" s="256" t="n"/>
      <c r="I16" s="256" t="n"/>
      <c r="J16" s="256" t="n"/>
      <c r="K16" s="256" t="n"/>
      <c r="L16" s="256" t="n"/>
      <c r="M16" s="256" t="n"/>
    </row>
    <row r="17">
      <c r="B17" s="256" t="n"/>
      <c r="C17" s="256" t="n"/>
      <c r="D17" s="256" t="n"/>
      <c r="E17" s="256" t="n"/>
      <c r="F17" s="256" t="n"/>
      <c r="G17" s="256" t="n"/>
      <c r="H17" s="256" t="n"/>
      <c r="I17" s="256" t="n"/>
      <c r="J17" s="256" t="n"/>
      <c r="K17" s="256" t="n"/>
      <c r="L17" s="256" t="n"/>
      <c r="M17" s="256" t="n"/>
    </row>
    <row r="18">
      <c r="B18" s="256" t="n"/>
      <c r="C18" s="256" t="n"/>
      <c r="D18" s="256" t="n"/>
      <c r="E18" s="256" t="n"/>
      <c r="F18" s="256" t="n"/>
      <c r="G18" s="256" t="n"/>
      <c r="H18" s="256" t="n"/>
      <c r="I18" s="256" t="n"/>
      <c r="J18" s="256" t="n"/>
      <c r="K18" s="256" t="n"/>
      <c r="L18" s="256" t="n"/>
      <c r="M18" s="256" t="n"/>
    </row>
    <row r="19">
      <c r="B19" s="256" t="n"/>
      <c r="C19" s="256" t="n"/>
      <c r="D19" s="256" t="n"/>
      <c r="E19" s="256" t="n"/>
      <c r="F19" s="256" t="n"/>
      <c r="G19" s="256" t="n"/>
      <c r="H19" s="256" t="n"/>
      <c r="I19" s="256" t="n"/>
      <c r="J19" s="256" t="n"/>
      <c r="K19" s="256" t="n"/>
      <c r="L19" s="256" t="n"/>
      <c r="M19" s="256" t="n"/>
    </row>
    <row r="20">
      <c r="B20" s="256" t="n"/>
      <c r="C20" s="256" t="n"/>
      <c r="D20" s="256" t="n"/>
      <c r="E20" s="256" t="n"/>
      <c r="F20" s="256" t="n"/>
      <c r="G20" s="256" t="n"/>
      <c r="H20" s="256" t="n"/>
      <c r="I20" s="256" t="n"/>
      <c r="J20" s="256" t="n"/>
      <c r="K20" s="256" t="n"/>
      <c r="L20" s="256" t="n"/>
      <c r="M20" s="256" t="n"/>
    </row>
    <row r="21">
      <c r="B21" s="256" t="n"/>
      <c r="C21" s="256" t="n"/>
      <c r="D21" s="256" t="n"/>
      <c r="E21" s="256" t="n"/>
      <c r="F21" s="256" t="n"/>
      <c r="G21" s="256" t="n"/>
      <c r="H21" s="256" t="n"/>
      <c r="I21" s="256" t="n"/>
      <c r="J21" s="256" t="n"/>
      <c r="K21" s="256" t="n"/>
      <c r="L21" s="256" t="n"/>
      <c r="M21" s="256" t="n"/>
    </row>
    <row r="22">
      <c r="B22" s="256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</row>
    <row r="23"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</row>
    <row r="24"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</row>
    <row r="25">
      <c r="B25" s="256" t="n"/>
      <c r="C25" s="256" t="n"/>
      <c r="D25" s="256" t="n"/>
      <c r="E25" s="256" t="n"/>
      <c r="F25" s="256" t="n"/>
      <c r="G25" s="256" t="n"/>
      <c r="H25" s="256" t="n"/>
      <c r="I25" s="256" t="n"/>
      <c r="J25" s="256" t="n"/>
      <c r="K25" s="256" t="n"/>
      <c r="L25" s="256" t="n"/>
      <c r="M25" s="256" t="n"/>
    </row>
    <row r="26">
      <c r="B26" s="256" t="n"/>
      <c r="C26" s="256" t="n"/>
      <c r="D26" s="256" t="n"/>
      <c r="E26" s="256" t="n"/>
      <c r="F26" s="256" t="n"/>
      <c r="G26" s="256" t="n"/>
      <c r="H26" s="256" t="n"/>
      <c r="I26" s="256" t="n"/>
      <c r="J26" s="256" t="n"/>
      <c r="K26" s="256" t="n"/>
      <c r="L26" s="256" t="n"/>
      <c r="M26" s="256" t="n"/>
    </row>
    <row r="27">
      <c r="B27" s="256" t="n"/>
      <c r="C27" s="256" t="n"/>
      <c r="D27" s="256" t="n"/>
      <c r="E27" s="256" t="n"/>
      <c r="F27" s="256" t="n"/>
      <c r="G27" s="256" t="n"/>
      <c r="H27" s="256" t="n"/>
      <c r="I27" s="256" t="n"/>
      <c r="J27" s="256" t="n"/>
      <c r="K27" s="256" t="n"/>
      <c r="L27" s="256" t="n"/>
      <c r="M27" s="256" t="n"/>
    </row>
    <row r="28">
      <c r="B28" s="256" t="n"/>
      <c r="C28" s="256" t="n"/>
      <c r="D28" s="256" t="n"/>
      <c r="E28" s="256" t="n"/>
      <c r="F28" s="256" t="n"/>
      <c r="G28" s="256" t="n"/>
      <c r="H28" s="256" t="n"/>
      <c r="I28" s="256" t="n"/>
      <c r="J28" s="256" t="n"/>
      <c r="K28" s="256" t="n"/>
      <c r="L28" s="256" t="n"/>
      <c r="M28" s="256" t="n"/>
    </row>
    <row r="29">
      <c r="B29" s="256" t="n"/>
      <c r="C29" s="256" t="n"/>
      <c r="D29" s="256" t="n"/>
      <c r="E29" s="256" t="n"/>
      <c r="F29" s="256" t="n"/>
      <c r="G29" s="256" t="n"/>
      <c r="H29" s="256" t="n"/>
      <c r="I29" s="256" t="n"/>
      <c r="J29" s="256" t="n"/>
      <c r="K29" s="256" t="n"/>
      <c r="L29" s="256" t="n"/>
      <c r="M29" s="256" t="n"/>
    </row>
    <row r="30"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</row>
    <row r="31">
      <c r="B31" s="256" t="n"/>
      <c r="C31" s="256" t="n"/>
      <c r="D31" s="256" t="n"/>
      <c r="E31" s="256" t="n"/>
      <c r="F31" s="256" t="n"/>
      <c r="G31" s="256" t="n"/>
      <c r="H31" s="256" t="n"/>
      <c r="I31" s="256" t="n"/>
      <c r="J31" s="256" t="n"/>
      <c r="K31" s="256" t="n"/>
      <c r="L31" s="256" t="n"/>
      <c r="M31" s="256" t="n"/>
    </row>
    <row r="32">
      <c r="B32" s="256" t="n"/>
      <c r="C32" s="256" t="n"/>
      <c r="D32" s="256" t="n"/>
      <c r="E32" s="256" t="n"/>
      <c r="F32" s="256" t="n"/>
      <c r="G32" s="256" t="n"/>
      <c r="H32" s="256" t="n"/>
      <c r="I32" s="256" t="n"/>
      <c r="J32" s="256" t="n"/>
      <c r="K32" s="256" t="n"/>
      <c r="L32" s="256" t="n"/>
      <c r="M32" s="256" t="n"/>
    </row>
    <row r="33">
      <c r="B33" s="256" t="n"/>
      <c r="C33" s="256" t="n"/>
      <c r="D33" s="256" t="n"/>
      <c r="E33" s="256" t="n"/>
      <c r="F33" s="256" t="n"/>
      <c r="G33" s="256" t="n"/>
      <c r="H33" s="256" t="n"/>
      <c r="I33" s="256" t="n"/>
      <c r="J33" s="256" t="n"/>
      <c r="K33" s="256" t="n"/>
      <c r="L33" s="256" t="n"/>
      <c r="M33" s="256" t="n"/>
    </row>
    <row r="34"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</row>
    <row r="35">
      <c r="B35" s="256" t="n"/>
      <c r="C35" s="256" t="n"/>
      <c r="D35" s="256" t="n"/>
      <c r="E35" s="256" t="n"/>
      <c r="F35" s="256" t="n"/>
      <c r="G35" s="256" t="n"/>
      <c r="H35" s="256" t="n"/>
      <c r="I35" s="256" t="n"/>
      <c r="J35" s="256" t="n"/>
      <c r="K35" s="256" t="n"/>
      <c r="L35" s="256" t="n"/>
      <c r="M35" s="256" t="n"/>
    </row>
    <row r="36">
      <c r="B36" s="256" t="n"/>
      <c r="C36" s="256" t="n"/>
      <c r="D36" s="256" t="n"/>
      <c r="E36" s="256" t="n"/>
      <c r="F36" s="256" t="n"/>
      <c r="G36" s="256" t="n"/>
      <c r="H36" s="256" t="n"/>
      <c r="I36" s="256" t="n"/>
      <c r="J36" s="256" t="n"/>
      <c r="K36" s="256" t="n"/>
      <c r="L36" s="256" t="n"/>
      <c r="M36" s="256" t="n"/>
    </row>
    <row r="37">
      <c r="B37" s="256" t="n"/>
      <c r="C37" s="256" t="n"/>
      <c r="D37" s="256" t="n"/>
      <c r="E37" s="256" t="n"/>
      <c r="F37" s="256" t="n"/>
      <c r="G37" s="256" t="n"/>
      <c r="H37" s="256" t="n"/>
      <c r="I37" s="256" t="n"/>
      <c r="J37" s="256" t="n"/>
      <c r="K37" s="256" t="n"/>
      <c r="L37" s="256" t="n"/>
      <c r="M37" s="256" t="n"/>
    </row>
    <row r="38"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</row>
    <row r="39"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56" t="n"/>
      <c r="K39" s="256" t="n"/>
      <c r="L39" s="256" t="n"/>
      <c r="M39" s="256" t="n"/>
    </row>
    <row r="40"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56" t="n"/>
      <c r="K40" s="256" t="n"/>
      <c r="L40" s="256" t="n"/>
      <c r="M40" s="256" t="n"/>
    </row>
    <row r="41"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56" t="n"/>
      <c r="K41" s="256" t="n"/>
      <c r="L41" s="256" t="n"/>
      <c r="M41" s="256" t="n"/>
    </row>
    <row r="42"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56" t="n"/>
      <c r="K42" s="256" t="n"/>
      <c r="L42" s="256" t="n"/>
      <c r="M42" s="256" t="n"/>
      <c r="N42" s="32" t="inlineStr">
        <is>
          <t>סה"כ שנתי</t>
        </is>
      </c>
    </row>
    <row r="43">
      <c r="A43" t="inlineStr">
        <is>
          <t>סה"כ</t>
        </is>
      </c>
      <c r="B43" s="256">
        <f>SUM(B2:B13)</f>
        <v/>
      </c>
      <c r="C43" s="256">
        <f>SUM(C2:C13)</f>
        <v/>
      </c>
      <c r="D43" s="256">
        <f>SUM(D2:D14)</f>
        <v/>
      </c>
      <c r="E43" s="256">
        <f>SUM(E4:E18)</f>
        <v/>
      </c>
      <c r="F43" s="256">
        <f>SUM(F4:F22)</f>
        <v/>
      </c>
      <c r="G43" s="256">
        <f>SUM(G4:G26)</f>
        <v/>
      </c>
      <c r="H43" s="256">
        <f>SUM(H4:H33)</f>
        <v/>
      </c>
      <c r="I43" s="256">
        <f>SUM(I4:I33)</f>
        <v/>
      </c>
      <c r="J43" s="256">
        <f>SUM(J4:J38)</f>
        <v/>
      </c>
      <c r="K43" s="256">
        <f>SUM(K4:K40)</f>
        <v/>
      </c>
      <c r="L43" s="256">
        <f>SUM(L36:L42)</f>
        <v/>
      </c>
      <c r="M43" s="256" t="n"/>
      <c r="N43" s="257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56" t="n">
        <v>30000</v>
      </c>
      <c r="C48" s="256" t="n">
        <v>29833</v>
      </c>
      <c r="D48" s="163">
        <f>'גביה 2026'!Q62</f>
        <v/>
      </c>
    </row>
    <row r="49">
      <c r="A49" t="inlineStr">
        <is>
          <t>שימוש 2024</t>
        </is>
      </c>
      <c r="B49" s="256" t="n">
        <v>20057</v>
      </c>
      <c r="C49" s="256" t="n">
        <v>33893</v>
      </c>
      <c r="D49" s="163">
        <f>N43</f>
        <v/>
      </c>
    </row>
    <row r="50">
      <c r="B50" s="256" t="n"/>
    </row>
    <row r="51">
      <c r="B51" s="256" t="n"/>
    </row>
    <row r="57">
      <c r="A57" s="32" t="n"/>
      <c r="B57" s="33" t="n"/>
    </row>
    <row r="58">
      <c r="A58" s="32" t="inlineStr">
        <is>
          <t>סה"כ גביה</t>
        </is>
      </c>
      <c r="B58" s="258">
        <f>B48+C48+D48</f>
        <v/>
      </c>
    </row>
    <row r="59">
      <c r="A59" s="32" t="inlineStr">
        <is>
          <t>סה"כ שימוש</t>
        </is>
      </c>
      <c r="B59" s="258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59" t="inlineStr">
        <is>
          <t xml:space="preserve"> חוב שנת 2020</t>
        </is>
      </c>
      <c r="B12" s="260" t="n"/>
      <c r="C12" s="260" t="n"/>
      <c r="D12" s="260" t="n"/>
      <c r="E12" s="260" t="n"/>
      <c r="F12" s="260" t="n"/>
      <c r="G12" s="260" t="n"/>
      <c r="H12" s="260" t="n"/>
      <c r="I12" s="261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35" t="n">
        <v>13</v>
      </c>
      <c r="B14" s="237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62" t="n"/>
      <c r="B15" s="263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64" t="n"/>
      <c r="B16" s="265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59" t="inlineStr">
        <is>
          <t>חוב שנת 2021</t>
        </is>
      </c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1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35" t="n">
        <v>13</v>
      </c>
      <c r="B20" s="237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62" t="n"/>
      <c r="B21" s="263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64" t="n"/>
      <c r="B22" s="265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59" t="inlineStr">
        <is>
          <t xml:space="preserve"> חוב שנת 2022</t>
        </is>
      </c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0" t="n"/>
      <c r="N24" s="261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35" t="n">
        <v>13</v>
      </c>
      <c r="B26" s="237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62" t="n"/>
      <c r="B27" s="263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64" t="n"/>
      <c r="B28" s="265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59" t="inlineStr">
        <is>
          <t xml:space="preserve">חוב שנת 2023 </t>
        </is>
      </c>
      <c r="B30" s="260" t="n"/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260" t="n"/>
      <c r="L30" s="260" t="n"/>
      <c r="M30" s="260" t="n"/>
      <c r="N30" s="261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35" t="n">
        <v>13</v>
      </c>
      <c r="B32" s="237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62" t="n"/>
      <c r="B33" s="263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64" t="n"/>
      <c r="B34" s="265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59" t="inlineStr">
        <is>
          <t xml:space="preserve">שנת 2024 </t>
        </is>
      </c>
      <c r="B36" s="260" t="n"/>
      <c r="C36" s="260" t="n"/>
      <c r="D36" s="260" t="n"/>
      <c r="E36" s="260" t="n"/>
      <c r="F36" s="260" t="n"/>
      <c r="G36" s="260" t="n"/>
      <c r="H36" s="260" t="n"/>
      <c r="I36" s="260" t="n"/>
      <c r="J36" s="260" t="n"/>
      <c r="K36" s="260" t="n"/>
      <c r="L36" s="260" t="n"/>
      <c r="M36" s="260" t="n"/>
      <c r="N36" s="261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35" t="n">
        <v>13</v>
      </c>
      <c r="B38" s="237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62" t="n"/>
      <c r="B39" s="263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64" t="n"/>
      <c r="B40" s="265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66" t="inlineStr">
        <is>
          <t>סיכום</t>
        </is>
      </c>
      <c r="D42" s="260" t="n"/>
      <c r="E42" s="260" t="n"/>
      <c r="F42" s="260" t="n"/>
      <c r="G42" s="260" t="n"/>
      <c r="H42" s="261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29" t="inlineStr">
        <is>
          <t>תאריך שמירה/הדפסה: 15/2/2026</t>
        </is>
      </c>
    </row>
    <row r="67">
      <c r="A67" s="230" t="inlineStr">
        <is>
          <t xml:space="preserve"> </t>
        </is>
      </c>
    </row>
    <row r="68">
      <c r="A68" s="229" t="inlineStr">
        <is>
          <t>היתרה</t>
        </is>
      </c>
      <c r="C68" s="229" t="inlineStr">
        <is>
          <t>מסגרת האשראי</t>
        </is>
      </c>
      <c r="E68" s="229" t="inlineStr">
        <is>
          <t>נכון לתאריך</t>
        </is>
      </c>
      <c r="G68" s="230" t="inlineStr">
        <is>
          <t xml:space="preserve"> </t>
        </is>
      </c>
      <c r="H68" s="230" t="inlineStr">
        <is>
          <t xml:space="preserve"> </t>
        </is>
      </c>
      <c r="I68" s="230" t="inlineStr">
        <is>
          <t xml:space="preserve"> </t>
        </is>
      </c>
    </row>
    <row r="69">
      <c r="A69" s="230" t="inlineStr">
        <is>
          <t xml:space="preserve"> </t>
        </is>
      </c>
      <c r="C69" s="230" t="inlineStr">
        <is>
          <t xml:space="preserve"> </t>
        </is>
      </c>
      <c r="E69" s="230" t="inlineStr">
        <is>
          <t xml:space="preserve"> </t>
        </is>
      </c>
      <c r="G69" s="230" t="inlineStr">
        <is>
          <t xml:space="preserve"> </t>
        </is>
      </c>
      <c r="H69" s="230" t="inlineStr">
        <is>
          <t xml:space="preserve"> </t>
        </is>
      </c>
      <c r="I69" s="230" t="inlineStr">
        <is>
          <t xml:space="preserve"> </t>
        </is>
      </c>
    </row>
    <row r="70">
      <c r="A70" s="230" t="inlineStr">
        <is>
          <t>₪ 31,538.78</t>
        </is>
      </c>
      <c r="C70" s="230" t="inlineStr">
        <is>
          <t>₪ 0.00</t>
        </is>
      </c>
      <c r="E70" s="230" t="inlineStr">
        <is>
          <t>15.02.26</t>
        </is>
      </c>
      <c r="G70" s="230" t="inlineStr">
        <is>
          <t xml:space="preserve"> </t>
        </is>
      </c>
      <c r="H70" s="230" t="inlineStr">
        <is>
          <t xml:space="preserve"> </t>
        </is>
      </c>
      <c r="I70" s="230" t="inlineStr">
        <is>
          <t xml:space="preserve"> </t>
        </is>
      </c>
    </row>
    <row r="71">
      <c r="A71" s="230" t="inlineStr">
        <is>
          <t>* כולל תנועות היום</t>
        </is>
      </c>
      <c r="C71" s="230" t="inlineStr">
        <is>
          <t xml:space="preserve"> </t>
        </is>
      </c>
      <c r="E71" s="230" t="inlineStr">
        <is>
          <t xml:space="preserve"> </t>
        </is>
      </c>
      <c r="G71" s="230" t="inlineStr">
        <is>
          <t xml:space="preserve"> </t>
        </is>
      </c>
      <c r="H71" s="230" t="inlineStr">
        <is>
          <t xml:space="preserve"> </t>
        </is>
      </c>
      <c r="I71" s="230" t="inlineStr">
        <is>
          <t xml:space="preserve"> </t>
        </is>
      </c>
    </row>
    <row r="72">
      <c r="A72" s="230" t="inlineStr">
        <is>
          <t xml:space="preserve"> </t>
        </is>
      </c>
    </row>
    <row r="73">
      <c r="A73" s="230" t="inlineStr">
        <is>
          <t xml:space="preserve"> </t>
        </is>
      </c>
    </row>
    <row r="74">
      <c r="A74" s="230" t="inlineStr">
        <is>
          <t xml:space="preserve"> </t>
        </is>
      </c>
    </row>
    <row r="75">
      <c r="A75" s="229" t="inlineStr">
        <is>
          <t>תנועות בחשבון</t>
        </is>
      </c>
    </row>
    <row r="76">
      <c r="A76" s="229" t="inlineStr">
        <is>
          <t>תאריך</t>
        </is>
      </c>
      <c r="B76" s="229" t="inlineStr">
        <is>
          <t>תאריך ערך</t>
        </is>
      </c>
      <c r="C76" s="229" t="inlineStr">
        <is>
          <t>תיאור</t>
        </is>
      </c>
      <c r="D76" s="229" t="inlineStr">
        <is>
          <t>אסמכתא</t>
        </is>
      </c>
      <c r="E76" s="229" t="inlineStr">
        <is>
          <t>בחובה</t>
        </is>
      </c>
      <c r="F76" s="229" t="inlineStr">
        <is>
          <t>בזכות</t>
        </is>
      </c>
      <c r="G76" s="229" t="inlineStr">
        <is>
          <t>תאור מורחב</t>
        </is>
      </c>
      <c r="H76" s="229" t="inlineStr">
        <is>
          <t xml:space="preserve">  הערה</t>
        </is>
      </c>
      <c r="I76" s="230" t="inlineStr">
        <is>
          <t xml:space="preserve"> </t>
        </is>
      </c>
    </row>
    <row r="77">
      <c r="A77" s="230" t="inlineStr">
        <is>
          <t>19/02/2024</t>
        </is>
      </c>
      <c r="B77" s="230" t="inlineStr">
        <is>
          <t>19/02/2024</t>
        </is>
      </c>
      <c r="C77" s="229" t="inlineStr">
        <is>
          <t>בנק מזרחי</t>
        </is>
      </c>
      <c r="D77" s="230" t="n">
        <v>99020</v>
      </c>
      <c r="E77" s="230" t="n">
        <v>0</v>
      </c>
      <c r="F77" s="230" t="n">
        <v>500</v>
      </c>
      <c r="G77" s="229" t="inlineStr">
        <is>
          <t>העברה מאת: בכר שי 20-523-000260701 דירה 13</t>
        </is>
      </c>
      <c r="H77" s="230" t="inlineStr">
        <is>
          <t xml:space="preserve"> </t>
        </is>
      </c>
      <c r="I77" s="230" t="inlineStr">
        <is>
          <t xml:space="preserve"> </t>
        </is>
      </c>
    </row>
    <row r="78">
      <c r="A78" s="187" t="n">
        <v>45421</v>
      </c>
      <c r="B78" s="187" t="n">
        <v>45421</v>
      </c>
      <c r="C78" s="229" t="inlineStr">
        <is>
          <t>בנק מזרחי</t>
        </is>
      </c>
      <c r="D78" s="230" t="n">
        <v>99020</v>
      </c>
      <c r="E78" s="230" t="n">
        <v>0</v>
      </c>
      <c r="F78" s="230" t="n">
        <v>670</v>
      </c>
      <c r="G78" s="229" t="inlineStr">
        <is>
          <t>העברה מאת: בכר שי 20-523-000260701 תשלום ראשון</t>
        </is>
      </c>
      <c r="H78" s="230" t="inlineStr">
        <is>
          <t xml:space="preserve"> </t>
        </is>
      </c>
      <c r="I78" s="230" t="inlineStr">
        <is>
          <t xml:space="preserve"> </t>
        </is>
      </c>
    </row>
    <row r="79">
      <c r="A79" s="230" t="inlineStr">
        <is>
          <t>13/10/2024</t>
        </is>
      </c>
      <c r="B79" s="230" t="inlineStr">
        <is>
          <t>13/10/2024</t>
        </is>
      </c>
      <c r="C79" s="229" t="inlineStr">
        <is>
          <t>בנק מזרחי</t>
        </is>
      </c>
      <c r="D79" s="230" t="n">
        <v>99020</v>
      </c>
      <c r="E79" s="230" t="n">
        <v>0</v>
      </c>
      <c r="F79" s="230" t="n">
        <v>670</v>
      </c>
      <c r="G79" s="229" t="inlineStr">
        <is>
          <t>העברה מאת: בכר שי 20-523-000260701</t>
        </is>
      </c>
      <c r="H79" s="230" t="inlineStr">
        <is>
          <t xml:space="preserve"> </t>
        </is>
      </c>
      <c r="I79" s="230" t="inlineStr">
        <is>
          <t xml:space="preserve"> </t>
        </is>
      </c>
    </row>
    <row r="80">
      <c r="A80" s="230" t="inlineStr">
        <is>
          <t>13/10/2024</t>
        </is>
      </c>
      <c r="B80" s="230" t="inlineStr">
        <is>
          <t>13/10/2024</t>
        </is>
      </c>
      <c r="C80" s="229" t="inlineStr">
        <is>
          <t>בנק מזרחי</t>
        </is>
      </c>
      <c r="D80" s="230" t="n">
        <v>99020</v>
      </c>
      <c r="E80" s="230" t="n">
        <v>0</v>
      </c>
      <c r="F80" s="230" t="n">
        <v>670</v>
      </c>
      <c r="G80" s="229" t="inlineStr">
        <is>
          <t>העברה מאת: בכר שי 20-523-000260701</t>
        </is>
      </c>
      <c r="H80" s="230" t="inlineStr">
        <is>
          <t xml:space="preserve"> </t>
        </is>
      </c>
      <c r="I80" s="230" t="inlineStr">
        <is>
          <t xml:space="preserve"> </t>
        </is>
      </c>
    </row>
    <row r="81">
      <c r="A81" s="230" t="inlineStr">
        <is>
          <t>22/11/2024</t>
        </is>
      </c>
      <c r="B81" s="230" t="inlineStr">
        <is>
          <t>22/11/2024</t>
        </is>
      </c>
      <c r="C81" s="229" t="inlineStr">
        <is>
          <t>בנק מזרחי</t>
        </is>
      </c>
      <c r="D81" s="230" t="n">
        <v>99020</v>
      </c>
      <c r="E81" s="230" t="n">
        <v>0</v>
      </c>
      <c r="F81" s="230" t="n">
        <v>670</v>
      </c>
      <c r="G81" s="229" t="inlineStr">
        <is>
          <t>העברה מאת: בכר שי 20-523-000260701 תשלום</t>
        </is>
      </c>
      <c r="H81" s="230" t="inlineStr">
        <is>
          <t xml:space="preserve"> </t>
        </is>
      </c>
      <c r="I81" s="230" t="inlineStr">
        <is>
          <t xml:space="preserve"> </t>
        </is>
      </c>
    </row>
    <row r="82">
      <c r="A82" s="230" t="inlineStr">
        <is>
          <t>24/03/2025</t>
        </is>
      </c>
      <c r="B82" s="230" t="inlineStr">
        <is>
          <t>24/03/2025</t>
        </is>
      </c>
      <c r="C82" s="229" t="inlineStr">
        <is>
          <t>בנק מזרחי</t>
        </is>
      </c>
      <c r="D82" s="230" t="n">
        <v>99020</v>
      </c>
      <c r="E82" s="230" t="n">
        <v>0</v>
      </c>
      <c r="F82" s="230" t="n">
        <v>820</v>
      </c>
      <c r="G82" s="229" t="inlineStr">
        <is>
          <t>העברה מאת: בכר שי 20-523-000260701</t>
        </is>
      </c>
      <c r="H82" s="230" t="inlineStr">
        <is>
          <t xml:space="preserve"> </t>
        </is>
      </c>
      <c r="I82" s="230" t="inlineStr">
        <is>
          <t xml:space="preserve"> </t>
        </is>
      </c>
    </row>
    <row r="83">
      <c r="A83" s="230" t="inlineStr">
        <is>
          <t>21/07/2025</t>
        </is>
      </c>
      <c r="B83" s="230" t="inlineStr">
        <is>
          <t>21/07/2025</t>
        </is>
      </c>
      <c r="C83" s="229" t="inlineStr">
        <is>
          <t>בנק מזרחי</t>
        </is>
      </c>
      <c r="D83" s="230" t="n">
        <v>99020</v>
      </c>
      <c r="E83" s="230" t="n">
        <v>0</v>
      </c>
      <c r="F83" s="230" t="n">
        <v>883</v>
      </c>
      <c r="G83" s="229" t="inlineStr">
        <is>
          <t>העברה מאת: בכר שי 20-523-000260701</t>
        </is>
      </c>
      <c r="H83" s="230" t="inlineStr">
        <is>
          <t xml:space="preserve"> </t>
        </is>
      </c>
      <c r="I83" s="230" t="inlineStr">
        <is>
          <t xml:space="preserve"> </t>
        </is>
      </c>
    </row>
    <row r="84">
      <c r="A84" s="230" t="inlineStr">
        <is>
          <t>14/09/2025</t>
        </is>
      </c>
      <c r="B84" s="230" t="inlineStr">
        <is>
          <t>14/09/2025</t>
        </is>
      </c>
      <c r="C84" s="229" t="inlineStr">
        <is>
          <t>בנק מזרחי</t>
        </is>
      </c>
      <c r="D84" s="230" t="n">
        <v>99020</v>
      </c>
      <c r="E84" s="230" t="n">
        <v>0</v>
      </c>
      <c r="F84" s="230" t="n">
        <v>883</v>
      </c>
      <c r="G84" s="229" t="inlineStr">
        <is>
          <t>העברה מאת: בכר שי 20-523-000260701</t>
        </is>
      </c>
      <c r="H84" s="230" t="inlineStr">
        <is>
          <t xml:space="preserve"> </t>
        </is>
      </c>
      <c r="I84" s="230" t="inlineStr">
        <is>
          <t xml:space="preserve"> </t>
        </is>
      </c>
    </row>
    <row r="87">
      <c r="A87" s="229" t="inlineStr">
        <is>
          <t>בנק לאומי |</t>
        </is>
      </c>
    </row>
    <row r="88">
      <c r="A88" s="229" t="inlineStr">
        <is>
          <t>מס' חשבון : ‏‏ ‎885-37554/82‎</t>
        </is>
      </c>
    </row>
    <row r="89">
      <c r="A89" s="229" t="inlineStr">
        <is>
          <t>תאריך שמירה/הדפסה: 15/2/2026</t>
        </is>
      </c>
    </row>
    <row r="90">
      <c r="A90" s="230" t="n"/>
    </row>
    <row r="91">
      <c r="A91" s="229" t="inlineStr">
        <is>
          <t>היתרה</t>
        </is>
      </c>
      <c r="C91" s="229" t="inlineStr">
        <is>
          <t>מסגרת האשראי</t>
        </is>
      </c>
      <c r="E91" s="229" t="inlineStr">
        <is>
          <t>נכון לתאריך</t>
        </is>
      </c>
      <c r="G91" s="230" t="n"/>
      <c r="H91" s="230" t="n"/>
      <c r="I91" s="230" t="n"/>
    </row>
    <row r="92">
      <c r="A92" s="230" t="n"/>
      <c r="C92" s="230" t="n"/>
      <c r="E92" s="230" t="n"/>
      <c r="G92" s="230" t="n"/>
      <c r="H92" s="230" t="n"/>
      <c r="I92" s="230" t="n"/>
    </row>
    <row r="93">
      <c r="A93" s="230" t="inlineStr">
        <is>
          <t>₪ 31,538.78</t>
        </is>
      </c>
      <c r="C93" s="230" t="inlineStr">
        <is>
          <t>₪ 0.00</t>
        </is>
      </c>
      <c r="E93" s="230" t="inlineStr">
        <is>
          <t>15.02.26</t>
        </is>
      </c>
      <c r="G93" s="230" t="n"/>
      <c r="H93" s="230" t="n"/>
      <c r="I93" s="230" t="n"/>
    </row>
    <row r="94">
      <c r="A94" s="230" t="inlineStr">
        <is>
          <t>* כולל תנועות היום</t>
        </is>
      </c>
      <c r="C94" s="230" t="n"/>
      <c r="E94" s="230" t="n"/>
      <c r="G94" s="230" t="n"/>
      <c r="H94" s="230" t="n"/>
      <c r="I94" s="230" t="n"/>
    </row>
    <row r="95">
      <c r="A95" s="230" t="n"/>
    </row>
    <row r="96">
      <c r="A96" s="230" t="n"/>
    </row>
    <row r="97">
      <c r="A97" s="230" t="n"/>
    </row>
    <row r="98">
      <c r="A98" s="229" t="inlineStr">
        <is>
          <t>תנועות בחשבון</t>
        </is>
      </c>
    </row>
    <row r="99">
      <c r="A99" s="229" t="inlineStr">
        <is>
          <t>תאריך</t>
        </is>
      </c>
      <c r="B99" s="229" t="inlineStr">
        <is>
          <t>תאריך ערך</t>
        </is>
      </c>
      <c r="C99" s="229" t="inlineStr">
        <is>
          <t>תיאור</t>
        </is>
      </c>
      <c r="D99" s="229" t="inlineStr">
        <is>
          <t>אסמכתא</t>
        </is>
      </c>
      <c r="E99" s="229" t="inlineStr">
        <is>
          <t>בחובה</t>
        </is>
      </c>
      <c r="F99" s="229" t="inlineStr">
        <is>
          <t>בזכות</t>
        </is>
      </c>
      <c r="G99" s="229" t="inlineStr">
        <is>
          <t>תאור מורחב</t>
        </is>
      </c>
      <c r="H99" s="229" t="inlineStr">
        <is>
          <t xml:space="preserve">  הערה</t>
        </is>
      </c>
      <c r="I99" s="230" t="n"/>
    </row>
    <row r="100">
      <c r="A100" s="187" t="n">
        <v>45242</v>
      </c>
      <c r="B100" s="187" t="n">
        <v>45242</v>
      </c>
      <c r="C100" s="229" t="inlineStr">
        <is>
          <t>מבנק יהב ס.-י</t>
        </is>
      </c>
      <c r="D100" s="230" t="n">
        <v>99004</v>
      </c>
      <c r="E100" s="230" t="n">
        <v>0</v>
      </c>
      <c r="F100" s="230" t="n">
        <v>320</v>
      </c>
      <c r="G100" s="229" t="inlineStr">
        <is>
          <t>העברה מאת: בכר שי נפתלי 04-233-000113835 וועד בית</t>
        </is>
      </c>
      <c r="H100" s="230" t="n"/>
      <c r="I100" s="230" t="n"/>
    </row>
    <row r="101">
      <c r="A101" s="187" t="n">
        <v>45566</v>
      </c>
      <c r="B101" s="187" t="n">
        <v>45566</v>
      </c>
      <c r="C101" s="229" t="inlineStr">
        <is>
          <t>מבנק יהב ס.-י</t>
        </is>
      </c>
      <c r="D101" s="230" t="n">
        <v>99004</v>
      </c>
      <c r="E101" s="230" t="n">
        <v>0</v>
      </c>
      <c r="F101" s="230" t="n">
        <v>320</v>
      </c>
      <c r="G101" s="229" t="inlineStr">
        <is>
          <t>העברה מאת: בכר שי נפתלי 04-233-000113835 וועד בית</t>
        </is>
      </c>
      <c r="H101" s="230" t="n"/>
      <c r="I101" s="230" t="n"/>
    </row>
    <row r="102">
      <c r="A102" s="230" t="inlineStr">
        <is>
          <t>15/02/2024</t>
        </is>
      </c>
      <c r="B102" s="230" t="inlineStr">
        <is>
          <t>15/02/2024</t>
        </is>
      </c>
      <c r="C102" s="229" t="inlineStr">
        <is>
          <t>בנק מזרחי</t>
        </is>
      </c>
      <c r="D102" s="230" t="n">
        <v>99020</v>
      </c>
      <c r="E102" s="230" t="n">
        <v>0</v>
      </c>
      <c r="F102" s="230" t="n">
        <v>320</v>
      </c>
      <c r="G102" s="229" t="inlineStr">
        <is>
          <t>העברה מאת: בכר שי 20-523-000260701</t>
        </is>
      </c>
      <c r="H102" s="230" t="n"/>
      <c r="I102" s="230" t="n"/>
    </row>
    <row r="103">
      <c r="A103" s="230" t="inlineStr">
        <is>
          <t>19/02/2024</t>
        </is>
      </c>
      <c r="B103" s="230" t="inlineStr">
        <is>
          <t>19/02/2024</t>
        </is>
      </c>
      <c r="C103" s="229" t="inlineStr">
        <is>
          <t>בנק מזרחי</t>
        </is>
      </c>
      <c r="D103" s="230" t="n">
        <v>99020</v>
      </c>
      <c r="E103" s="230" t="n">
        <v>0</v>
      </c>
      <c r="F103" s="230" t="n">
        <v>500</v>
      </c>
      <c r="G103" s="229" t="inlineStr">
        <is>
          <t>העברה מאת: בכר שי 20-523-000260701 דירה 13</t>
        </is>
      </c>
      <c r="H103" s="230" t="n"/>
      <c r="I103" s="230" t="n"/>
    </row>
    <row r="104">
      <c r="A104" s="230" t="inlineStr">
        <is>
          <t>15/03/2024</t>
        </is>
      </c>
      <c r="B104" s="230" t="inlineStr">
        <is>
          <t>15/03/2024</t>
        </is>
      </c>
      <c r="C104" s="229" t="inlineStr">
        <is>
          <t>בנק מזרחי</t>
        </is>
      </c>
      <c r="D104" s="230" t="n">
        <v>99020</v>
      </c>
      <c r="E104" s="230" t="n">
        <v>0</v>
      </c>
      <c r="F104" s="230" t="n">
        <v>320</v>
      </c>
      <c r="G104" s="229" t="inlineStr">
        <is>
          <t>העברה מאת: בכר שי 20-523-000260701</t>
        </is>
      </c>
      <c r="H104" s="230" t="n"/>
      <c r="I104" s="230" t="n"/>
    </row>
    <row r="105">
      <c r="A105" s="230" t="inlineStr">
        <is>
          <t>15/04/2024</t>
        </is>
      </c>
      <c r="B105" s="230" t="inlineStr">
        <is>
          <t>15/04/2024</t>
        </is>
      </c>
      <c r="C105" s="229" t="inlineStr">
        <is>
          <t>בנק מזרחי</t>
        </is>
      </c>
      <c r="D105" s="230" t="n">
        <v>99020</v>
      </c>
      <c r="E105" s="230" t="n">
        <v>0</v>
      </c>
      <c r="F105" s="230" t="n">
        <v>320</v>
      </c>
      <c r="G105" s="229" t="inlineStr">
        <is>
          <t>העברה מאת: בכר שי 20-523-000260701</t>
        </is>
      </c>
      <c r="H105" s="230" t="n"/>
      <c r="I105" s="230" t="n"/>
    </row>
    <row r="106">
      <c r="A106" s="230" t="inlineStr">
        <is>
          <t>15/05/2024</t>
        </is>
      </c>
      <c r="B106" s="230" t="inlineStr">
        <is>
          <t>15/05/2024</t>
        </is>
      </c>
      <c r="C106" s="229" t="inlineStr">
        <is>
          <t>בנק מזרחי</t>
        </is>
      </c>
      <c r="D106" s="230" t="n">
        <v>99020</v>
      </c>
      <c r="E106" s="230" t="n">
        <v>0</v>
      </c>
      <c r="F106" s="230" t="n">
        <v>320</v>
      </c>
      <c r="G106" s="229" t="inlineStr">
        <is>
          <t>העברה מאת: בכר שי 20-523-000260701</t>
        </is>
      </c>
      <c r="H106" s="230" t="n"/>
      <c r="I106" s="230" t="n"/>
    </row>
    <row r="107">
      <c r="A107" s="230" t="inlineStr">
        <is>
          <t>16/06/2024</t>
        </is>
      </c>
      <c r="B107" s="230" t="inlineStr">
        <is>
          <t>16/06/2024</t>
        </is>
      </c>
      <c r="C107" s="229" t="inlineStr">
        <is>
          <t>בנק מזרחי</t>
        </is>
      </c>
      <c r="D107" s="230" t="n">
        <v>99020</v>
      </c>
      <c r="E107" s="230" t="n">
        <v>0</v>
      </c>
      <c r="F107" s="230" t="n">
        <v>320</v>
      </c>
      <c r="G107" s="229" t="inlineStr">
        <is>
          <t>העברה מאת: בכר שי 20-523-000260701</t>
        </is>
      </c>
      <c r="H107" s="230" t="n"/>
      <c r="I107" s="230" t="n"/>
    </row>
    <row r="108">
      <c r="A108" s="230" t="inlineStr">
        <is>
          <t>15/07/2024</t>
        </is>
      </c>
      <c r="B108" s="230" t="inlineStr">
        <is>
          <t>15/07/2024</t>
        </is>
      </c>
      <c r="C108" s="229" t="inlineStr">
        <is>
          <t>בנק מזרחי</t>
        </is>
      </c>
      <c r="D108" s="230" t="n">
        <v>99020</v>
      </c>
      <c r="E108" s="230" t="n">
        <v>0</v>
      </c>
      <c r="F108" s="230" t="n">
        <v>320</v>
      </c>
      <c r="G108" s="229" t="inlineStr">
        <is>
          <t>העברה מאת: בכר שי 20-523-000260701</t>
        </is>
      </c>
      <c r="H108" s="230" t="n"/>
      <c r="I108" s="230" t="n"/>
    </row>
    <row r="109">
      <c r="A109" s="230" t="inlineStr">
        <is>
          <t>15/08/2024</t>
        </is>
      </c>
      <c r="B109" s="230" t="inlineStr">
        <is>
          <t>15/08/2024</t>
        </is>
      </c>
      <c r="C109" s="229" t="inlineStr">
        <is>
          <t>בנק מזרחי</t>
        </is>
      </c>
      <c r="D109" s="230" t="n">
        <v>99020</v>
      </c>
      <c r="E109" s="230" t="n">
        <v>0</v>
      </c>
      <c r="F109" s="230" t="n">
        <v>320</v>
      </c>
      <c r="G109" s="229" t="inlineStr">
        <is>
          <t>העברה מאת: בכר שי 20-523-000260701</t>
        </is>
      </c>
      <c r="H109" s="230" t="n"/>
      <c r="I109" s="230" t="n"/>
    </row>
    <row r="110">
      <c r="A110" s="187" t="n">
        <v>45421</v>
      </c>
      <c r="B110" s="187" t="n">
        <v>45421</v>
      </c>
      <c r="C110" s="229" t="inlineStr">
        <is>
          <t>בנק מזרחי</t>
        </is>
      </c>
      <c r="D110" s="230" t="n">
        <v>99020</v>
      </c>
      <c r="E110" s="230" t="n">
        <v>0</v>
      </c>
      <c r="F110" s="230" t="n">
        <v>670</v>
      </c>
      <c r="G110" s="229" t="inlineStr">
        <is>
          <t>העברה מאת: בכר שי 20-523-000260701 תשלום ראשון</t>
        </is>
      </c>
      <c r="H110" s="230" t="n"/>
      <c r="I110" s="230" t="n"/>
    </row>
    <row r="111">
      <c r="A111" s="230" t="inlineStr">
        <is>
          <t>15/09/2024</t>
        </is>
      </c>
      <c r="B111" s="230" t="inlineStr">
        <is>
          <t>15/09/2024</t>
        </is>
      </c>
      <c r="C111" s="229" t="inlineStr">
        <is>
          <t>בנק מזרחי</t>
        </is>
      </c>
      <c r="D111" s="230" t="n">
        <v>99020</v>
      </c>
      <c r="E111" s="230" t="n">
        <v>0</v>
      </c>
      <c r="F111" s="230" t="n">
        <v>320</v>
      </c>
      <c r="G111" s="229" t="inlineStr">
        <is>
          <t>העברה מאת: בכר שי 20-523-000260701</t>
        </is>
      </c>
      <c r="H111" s="230" t="n"/>
      <c r="I111" s="230" t="n"/>
    </row>
    <row r="112">
      <c r="A112" s="230" t="inlineStr">
        <is>
          <t>13/10/2024</t>
        </is>
      </c>
      <c r="B112" s="230" t="inlineStr">
        <is>
          <t>13/10/2024</t>
        </is>
      </c>
      <c r="C112" s="229" t="inlineStr">
        <is>
          <t>בנק מזרחי</t>
        </is>
      </c>
      <c r="D112" s="230" t="n">
        <v>99020</v>
      </c>
      <c r="E112" s="230" t="n">
        <v>0</v>
      </c>
      <c r="F112" s="230" t="n">
        <v>670</v>
      </c>
      <c r="G112" s="229" t="inlineStr">
        <is>
          <t>העברה מאת: בכר שי 20-523-000260701</t>
        </is>
      </c>
      <c r="H112" s="230" t="n"/>
      <c r="I112" s="230" t="n"/>
    </row>
    <row r="113">
      <c r="A113" s="230" t="inlineStr">
        <is>
          <t>13/10/2024</t>
        </is>
      </c>
      <c r="B113" s="230" t="inlineStr">
        <is>
          <t>13/10/2024</t>
        </is>
      </c>
      <c r="C113" s="229" t="inlineStr">
        <is>
          <t>בנק מזרחי</t>
        </is>
      </c>
      <c r="D113" s="230" t="n">
        <v>99020</v>
      </c>
      <c r="E113" s="230" t="n">
        <v>0</v>
      </c>
      <c r="F113" s="230" t="n">
        <v>670</v>
      </c>
      <c r="G113" s="229" t="inlineStr">
        <is>
          <t>העברה מאת: בכר שי 20-523-000260701</t>
        </is>
      </c>
      <c r="H113" s="230" t="n"/>
      <c r="I113" s="230" t="n"/>
    </row>
    <row r="114">
      <c r="A114" s="230" t="inlineStr">
        <is>
          <t>15/10/2024</t>
        </is>
      </c>
      <c r="B114" s="230" t="inlineStr">
        <is>
          <t>15/10/2024</t>
        </is>
      </c>
      <c r="C114" s="229" t="inlineStr">
        <is>
          <t>בנק מזרחי</t>
        </is>
      </c>
      <c r="D114" s="230" t="n">
        <v>99020</v>
      </c>
      <c r="E114" s="230" t="n">
        <v>0</v>
      </c>
      <c r="F114" s="230" t="n">
        <v>320</v>
      </c>
      <c r="G114" s="229" t="inlineStr">
        <is>
          <t>העברה מאת: בכר שי 20-523-000260701</t>
        </is>
      </c>
      <c r="H114" s="230" t="n"/>
      <c r="I114" s="230" t="n"/>
    </row>
    <row r="115">
      <c r="A115" s="230" t="inlineStr">
        <is>
          <t>15/11/2024</t>
        </is>
      </c>
      <c r="B115" s="230" t="inlineStr">
        <is>
          <t>15/11/2024</t>
        </is>
      </c>
      <c r="C115" s="229" t="inlineStr">
        <is>
          <t>בנק מזרחי</t>
        </is>
      </c>
      <c r="D115" s="230" t="n">
        <v>99020</v>
      </c>
      <c r="E115" s="230" t="n">
        <v>0</v>
      </c>
      <c r="F115" s="230" t="n">
        <v>320</v>
      </c>
      <c r="G115" s="229" t="inlineStr">
        <is>
          <t>העברה מאת: בכר שי 20-523-000260701</t>
        </is>
      </c>
      <c r="H115" s="230" t="n"/>
      <c r="I115" s="230" t="n"/>
    </row>
    <row r="116">
      <c r="A116" s="230" t="inlineStr">
        <is>
          <t>22/11/2024</t>
        </is>
      </c>
      <c r="B116" s="230" t="inlineStr">
        <is>
          <t>22/11/2024</t>
        </is>
      </c>
      <c r="C116" s="229" t="inlineStr">
        <is>
          <t>בנק מזרחי</t>
        </is>
      </c>
      <c r="D116" s="230" t="n">
        <v>99020</v>
      </c>
      <c r="E116" s="230" t="n">
        <v>0</v>
      </c>
      <c r="F116" s="230" t="n">
        <v>670</v>
      </c>
      <c r="G116" s="229" t="inlineStr">
        <is>
          <t>העברה מאת: בכר שי 20-523-000260701 תשלום</t>
        </is>
      </c>
      <c r="H116" s="230" t="n"/>
      <c r="I116" s="230" t="n"/>
    </row>
    <row r="117">
      <c r="A117" s="230" t="inlineStr">
        <is>
          <t>15/12/2024</t>
        </is>
      </c>
      <c r="B117" s="230" t="inlineStr">
        <is>
          <t>15/12/2024</t>
        </is>
      </c>
      <c r="C117" s="229" t="inlineStr">
        <is>
          <t>בנק מזרחי</t>
        </is>
      </c>
      <c r="D117" s="230" t="n">
        <v>99020</v>
      </c>
      <c r="E117" s="230" t="n">
        <v>0</v>
      </c>
      <c r="F117" s="230" t="n">
        <v>320</v>
      </c>
      <c r="G117" s="229" t="inlineStr">
        <is>
          <t>העברה מאת: בכר שי 20-523-000260701</t>
        </is>
      </c>
      <c r="H117" s="230" t="n"/>
      <c r="I117" s="230" t="n"/>
    </row>
    <row r="118">
      <c r="A118" s="230" t="inlineStr">
        <is>
          <t>16/02/2025</t>
        </is>
      </c>
      <c r="B118" s="230" t="inlineStr">
        <is>
          <t>16/02/2025</t>
        </is>
      </c>
      <c r="C118" s="229" t="inlineStr">
        <is>
          <t>בנק מזרחי</t>
        </is>
      </c>
      <c r="D118" s="230" t="n">
        <v>99020</v>
      </c>
      <c r="E118" s="230" t="n">
        <v>0</v>
      </c>
      <c r="F118" s="230" t="n">
        <v>320</v>
      </c>
      <c r="G118" s="229" t="inlineStr">
        <is>
          <t>העברה מאת: בכר שי 20-523-000260701</t>
        </is>
      </c>
      <c r="H118" s="230" t="n"/>
      <c r="I118" s="230" t="n"/>
    </row>
    <row r="119">
      <c r="A119" s="230" t="inlineStr">
        <is>
          <t>24/03/2025</t>
        </is>
      </c>
      <c r="B119" s="230" t="inlineStr">
        <is>
          <t>24/03/2025</t>
        </is>
      </c>
      <c r="C119" s="229" t="inlineStr">
        <is>
          <t>בנק מזרחי</t>
        </is>
      </c>
      <c r="D119" s="230" t="n">
        <v>99020</v>
      </c>
      <c r="E119" s="230" t="n">
        <v>0</v>
      </c>
      <c r="F119" s="230" t="n">
        <v>820</v>
      </c>
      <c r="G119" s="229" t="inlineStr">
        <is>
          <t>העברה מאת: בכר שי 20-523-000260701</t>
        </is>
      </c>
      <c r="H119" s="230" t="n"/>
      <c r="I119" s="230" t="n"/>
    </row>
    <row r="120">
      <c r="A120" s="230" t="inlineStr">
        <is>
          <t>15/04/2025</t>
        </is>
      </c>
      <c r="B120" s="230" t="inlineStr">
        <is>
          <t>15/04/2025</t>
        </is>
      </c>
      <c r="C120" s="229" t="inlineStr">
        <is>
          <t>בנק מזרחי</t>
        </is>
      </c>
      <c r="D120" s="230" t="n">
        <v>99020</v>
      </c>
      <c r="E120" s="230" t="n">
        <v>0</v>
      </c>
      <c r="F120" s="230" t="n">
        <v>320</v>
      </c>
      <c r="G120" s="229" t="inlineStr">
        <is>
          <t>העברה מאת: בכר שי 20-523-000260701</t>
        </is>
      </c>
      <c r="H120" s="230" t="n"/>
      <c r="I120" s="230" t="n"/>
    </row>
    <row r="121">
      <c r="A121" s="230" t="inlineStr">
        <is>
          <t>15/05/2025</t>
        </is>
      </c>
      <c r="B121" s="230" t="inlineStr">
        <is>
          <t>15/05/2025</t>
        </is>
      </c>
      <c r="C121" s="229" t="inlineStr">
        <is>
          <t>בנק מזרחי</t>
        </is>
      </c>
      <c r="D121" s="230" t="n">
        <v>99020</v>
      </c>
      <c r="E121" s="230" t="n">
        <v>0</v>
      </c>
      <c r="F121" s="230" t="n">
        <v>320</v>
      </c>
      <c r="G121" s="229" t="inlineStr">
        <is>
          <t>העברה מאת: בכר שי 20-523-000260701</t>
        </is>
      </c>
      <c r="H121" s="230" t="n"/>
      <c r="I121" s="230" t="n"/>
    </row>
    <row r="122">
      <c r="A122" s="230" t="inlineStr">
        <is>
          <t>15/06/2025</t>
        </is>
      </c>
      <c r="B122" s="230" t="inlineStr">
        <is>
          <t>15/06/2025</t>
        </is>
      </c>
      <c r="C122" s="229" t="inlineStr">
        <is>
          <t>בנק מזרחי</t>
        </is>
      </c>
      <c r="D122" s="230" t="n">
        <v>99020</v>
      </c>
      <c r="E122" s="230" t="n">
        <v>0</v>
      </c>
      <c r="F122" s="230" t="n">
        <v>320</v>
      </c>
      <c r="G122" s="229" t="inlineStr">
        <is>
          <t>העברה מאת: בכר שי 20-523-000260701</t>
        </is>
      </c>
      <c r="H122" s="230" t="n"/>
      <c r="I122" s="230" t="n"/>
    </row>
    <row r="123">
      <c r="A123" s="230" t="inlineStr">
        <is>
          <t>15/07/2025</t>
        </is>
      </c>
      <c r="B123" s="230" t="inlineStr">
        <is>
          <t>15/07/2025</t>
        </is>
      </c>
      <c r="C123" s="229" t="inlineStr">
        <is>
          <t>בנק מזרחי</t>
        </is>
      </c>
      <c r="D123" s="230" t="n">
        <v>99020</v>
      </c>
      <c r="E123" s="230" t="n">
        <v>0</v>
      </c>
      <c r="F123" s="230" t="n">
        <v>320</v>
      </c>
      <c r="G123" s="229" t="inlineStr">
        <is>
          <t>העברה מאת: בכר שי 20-523-000260701</t>
        </is>
      </c>
      <c r="H123" s="230" t="n"/>
      <c r="I123" s="230" t="n"/>
    </row>
    <row r="124">
      <c r="A124" s="230" t="inlineStr">
        <is>
          <t>21/07/2025</t>
        </is>
      </c>
      <c r="B124" s="230" t="inlineStr">
        <is>
          <t>21/07/2025</t>
        </is>
      </c>
      <c r="C124" s="229" t="inlineStr">
        <is>
          <t>בנק מזרחי</t>
        </is>
      </c>
      <c r="D124" s="230" t="n">
        <v>99020</v>
      </c>
      <c r="E124" s="230" t="n">
        <v>0</v>
      </c>
      <c r="F124" s="230" t="n">
        <v>883</v>
      </c>
      <c r="G124" s="229" t="inlineStr">
        <is>
          <t>העברה מאת: בכר שי 20-523-000260701</t>
        </is>
      </c>
      <c r="H124" s="230" t="n"/>
      <c r="I124" s="230" t="n"/>
    </row>
    <row r="125">
      <c r="A125" s="230" t="inlineStr">
        <is>
          <t>15/08/2025</t>
        </is>
      </c>
      <c r="B125" s="230" t="inlineStr">
        <is>
          <t>15/08/2025</t>
        </is>
      </c>
      <c r="C125" s="229" t="inlineStr">
        <is>
          <t>בנק מזרחי</t>
        </is>
      </c>
      <c r="D125" s="230" t="n">
        <v>99020</v>
      </c>
      <c r="E125" s="230" t="n">
        <v>0</v>
      </c>
      <c r="F125" s="230" t="n">
        <v>320</v>
      </c>
      <c r="G125" s="229" t="inlineStr">
        <is>
          <t>העברה מאת: בכר שי 20-523-000260701</t>
        </is>
      </c>
      <c r="H125" s="230" t="n"/>
      <c r="I125" s="230" t="n"/>
    </row>
    <row r="126">
      <c r="A126" s="230" t="inlineStr">
        <is>
          <t>14/09/2025</t>
        </is>
      </c>
      <c r="B126" s="230" t="inlineStr">
        <is>
          <t>14/09/2025</t>
        </is>
      </c>
      <c r="C126" s="229" t="inlineStr">
        <is>
          <t>בנק מזרחי</t>
        </is>
      </c>
      <c r="D126" s="230" t="n">
        <v>99020</v>
      </c>
      <c r="E126" s="230" t="n">
        <v>0</v>
      </c>
      <c r="F126" s="230" t="n">
        <v>883</v>
      </c>
      <c r="G126" s="229" t="inlineStr">
        <is>
          <t>העברה מאת: בכר שי 20-523-000260701</t>
        </is>
      </c>
      <c r="H126" s="230" t="n"/>
      <c r="I126" s="230" t="n"/>
    </row>
    <row r="127">
      <c r="A127" s="230" t="inlineStr">
        <is>
          <t>15/09/2025</t>
        </is>
      </c>
      <c r="B127" s="230" t="inlineStr">
        <is>
          <t>15/09/2025</t>
        </is>
      </c>
      <c r="C127" s="229" t="inlineStr">
        <is>
          <t>בנק מזרחי</t>
        </is>
      </c>
      <c r="D127" s="230" t="n">
        <v>99020</v>
      </c>
      <c r="E127" s="230" t="n">
        <v>0</v>
      </c>
      <c r="F127" s="230" t="n">
        <v>320</v>
      </c>
      <c r="G127" s="229" t="inlineStr">
        <is>
          <t>העברה מאת: בכר שי 20-523-000260701</t>
        </is>
      </c>
      <c r="H127" s="230" t="n"/>
      <c r="I127" s="230" t="n"/>
    </row>
    <row r="128">
      <c r="A128" s="230" t="inlineStr">
        <is>
          <t>15/10/2025</t>
        </is>
      </c>
      <c r="B128" s="230" t="inlineStr">
        <is>
          <t>15/10/2025</t>
        </is>
      </c>
      <c r="C128" s="229" t="inlineStr">
        <is>
          <t>בנק מזרחי</t>
        </is>
      </c>
      <c r="D128" s="230" t="n">
        <v>99020</v>
      </c>
      <c r="E128" s="230" t="n">
        <v>0</v>
      </c>
      <c r="F128" s="230" t="n">
        <v>320</v>
      </c>
      <c r="G128" s="229" t="inlineStr">
        <is>
          <t>העברה מאת: בכר שי 20-523-000260701</t>
        </is>
      </c>
      <c r="H128" s="230" t="n"/>
      <c r="I128" s="230" t="n"/>
    </row>
    <row r="129">
      <c r="A129" s="230" t="inlineStr">
        <is>
          <t>16/11/2025</t>
        </is>
      </c>
      <c r="B129" s="230" t="inlineStr">
        <is>
          <t>16/11/2025</t>
        </is>
      </c>
      <c r="C129" s="229" t="inlineStr">
        <is>
          <t>בנק מזרחי</t>
        </is>
      </c>
      <c r="D129" s="230" t="n">
        <v>99020</v>
      </c>
      <c r="E129" s="230" t="n">
        <v>0</v>
      </c>
      <c r="F129" s="230" t="n">
        <v>350</v>
      </c>
      <c r="G129" s="229" t="inlineStr">
        <is>
          <t>העברה מאת: בכר שי 20-523-000260701</t>
        </is>
      </c>
      <c r="H129" s="230" t="n"/>
      <c r="I129" s="230" t="n"/>
    </row>
    <row r="130">
      <c r="A130" s="230" t="inlineStr">
        <is>
          <t>15/12/2025</t>
        </is>
      </c>
      <c r="B130" s="230" t="inlineStr">
        <is>
          <t>15/12/2025</t>
        </is>
      </c>
      <c r="C130" s="229" t="inlineStr">
        <is>
          <t>בנק מזרחי</t>
        </is>
      </c>
      <c r="D130" s="230" t="n">
        <v>99020</v>
      </c>
      <c r="E130" s="230" t="n">
        <v>0</v>
      </c>
      <c r="F130" s="230" t="n">
        <v>350</v>
      </c>
      <c r="G130" s="229" t="inlineStr">
        <is>
          <t>העברה מאת: בכר שי 20-523-000260701</t>
        </is>
      </c>
      <c r="H130" s="230" t="n"/>
      <c r="I130" s="230" t="n"/>
    </row>
    <row r="131">
      <c r="A131" s="230" t="inlineStr">
        <is>
          <t>15/01/2026</t>
        </is>
      </c>
      <c r="B131" s="230" t="inlineStr">
        <is>
          <t>15/01/2026</t>
        </is>
      </c>
      <c r="C131" s="229" t="inlineStr">
        <is>
          <t>בנק מזרחי</t>
        </is>
      </c>
      <c r="D131" s="230" t="n">
        <v>99020</v>
      </c>
      <c r="E131" s="230" t="n">
        <v>0</v>
      </c>
      <c r="F131" s="230" t="n">
        <v>350</v>
      </c>
      <c r="G131" s="229" t="inlineStr">
        <is>
          <t>העברה מאת: בכר שי 20-523-000260701</t>
        </is>
      </c>
      <c r="H131" s="230" t="n"/>
      <c r="I131" s="23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Apartment_Number</t>
        </is>
      </c>
      <c r="E1" t="inlineStr">
        <is>
          <t>Entity_Name</t>
        </is>
      </c>
      <c r="F1" t="inlineStr">
        <is>
          <t>Original_Desc</t>
        </is>
      </c>
      <c r="G1" t="inlineStr">
        <is>
          <t>Original_Ext_Desc</t>
        </is>
      </c>
    </row>
    <row r="2">
      <c r="A2" t="inlineStr">
        <is>
          <t>01/04/2026</t>
        </is>
      </c>
      <c r="B2" t="n">
        <v>350</v>
      </c>
      <c r="C2" t="inlineStr">
        <is>
          <t>לא ידוע</t>
        </is>
      </c>
      <c r="D2" t="inlineStr">
        <is>
          <t>לא זוהה</t>
        </is>
      </c>
      <c r="E2" t="inlineStr">
        <is>
          <t>לא ידוע</t>
        </is>
      </c>
      <c r="F2" t="inlineStr">
        <is>
          <t>הפקדת שיק</t>
        </is>
      </c>
    </row>
    <row r="3">
      <c r="A3" t="inlineStr">
        <is>
          <t>01/04/2026</t>
        </is>
      </c>
      <c r="B3" t="n">
        <v>320</v>
      </c>
      <c r="C3" t="inlineStr">
        <is>
          <t>הכנסה מדיירים</t>
        </is>
      </c>
      <c r="D3" t="n">
        <v>12</v>
      </c>
      <c r="E3" t="inlineStr">
        <is>
          <t>ברייב יולי 12-701-000404014 ועד בית</t>
        </is>
      </c>
      <c r="F3" t="inlineStr">
        <is>
          <t>בנק הפועלים</t>
        </is>
      </c>
      <c r="G3" t="inlineStr">
        <is>
          <t>העברה מאת: ברייב יולי 12-701-000404014 ועד בית</t>
        </is>
      </c>
    </row>
    <row r="4">
      <c r="A4" t="inlineStr">
        <is>
          <t>01/04/2026</t>
        </is>
      </c>
      <c r="B4" t="n">
        <v>350</v>
      </c>
      <c r="C4" t="inlineStr">
        <is>
          <t>הכנסה מדיירים</t>
        </is>
      </c>
      <c r="D4" t="n">
        <v>41</v>
      </c>
      <c r="E4" t="inlineStr">
        <is>
          <t>רועי ולי-ש 12-700-000616685 ועד בית</t>
        </is>
      </c>
      <c r="F4" t="inlineStr">
        <is>
          <t>בנק הפועלים</t>
        </is>
      </c>
      <c r="G4" t="inlineStr">
        <is>
          <t>העברה מאת: רועי ולי-ש 12-700-000616685 ועד בית</t>
        </is>
      </c>
    </row>
    <row r="5">
      <c r="A5" t="inlineStr">
        <is>
          <t>01/04/2026</t>
        </is>
      </c>
      <c r="B5" t="n">
        <v>350</v>
      </c>
      <c r="C5" t="inlineStr">
        <is>
          <t>הכנסה מדיירים</t>
        </is>
      </c>
      <c r="D5" t="n">
        <v>3</v>
      </c>
      <c r="E5" t="inlineStr">
        <is>
          <t>מנגיסטו דג 12-703-000091338 לוועד הבית</t>
        </is>
      </c>
      <c r="F5" t="inlineStr">
        <is>
          <t>בנק הפועלים</t>
        </is>
      </c>
      <c r="G5" t="inlineStr">
        <is>
          <t>העברה מאת: מנגיסטו דג 12-703-000091338 לוועד הבית</t>
        </is>
      </c>
    </row>
    <row r="6">
      <c r="A6" t="inlineStr">
        <is>
          <t>01/04/2026</t>
        </is>
      </c>
      <c r="B6" t="n">
        <v>350</v>
      </c>
      <c r="C6" t="inlineStr">
        <is>
          <t>הכנסה מדיירים</t>
        </is>
      </c>
      <c r="D6" t="n">
        <v>27</v>
      </c>
      <c r="E6" t="inlineStr">
        <is>
          <t>אליזבט בינשטוק</t>
        </is>
      </c>
      <c r="F6" t="inlineStr">
        <is>
          <t>הוראת קבע</t>
        </is>
      </c>
      <c r="G6" t="inlineStr">
        <is>
          <t>העברה מאת: אליזבט בינשטוק, 10-891-003641132 תשלום בהוראת קבע</t>
        </is>
      </c>
    </row>
    <row r="7">
      <c r="A7" t="inlineStr">
        <is>
          <t>03/04/2026</t>
        </is>
      </c>
      <c r="B7" t="n">
        <v>350</v>
      </c>
      <c r="C7" t="inlineStr">
        <is>
          <t>הכנסה מדיירים</t>
        </is>
      </c>
      <c r="D7" t="n">
        <v>39</v>
      </c>
      <c r="E7" t="inlineStr">
        <is>
          <t>פריידמן נטליה 10-882-044876260 תשלום</t>
        </is>
      </c>
      <c r="F7" t="inlineStr">
        <is>
          <t>הוראת קבע</t>
        </is>
      </c>
      <c r="G7" t="inlineStr">
        <is>
          <t>העברה מאת: פריידמן נטליה 10-882-044876260 תשלום</t>
        </is>
      </c>
    </row>
    <row r="8">
      <c r="A8" t="inlineStr">
        <is>
          <t>03/04/2026</t>
        </is>
      </c>
      <c r="B8" t="n">
        <v>350</v>
      </c>
      <c r="C8" t="inlineStr">
        <is>
          <t>הכנסה מדיירים</t>
        </is>
      </c>
      <c r="D8" t="n">
        <v>56</v>
      </c>
      <c r="E8" t="inlineStr">
        <is>
          <t>גל ברזני</t>
        </is>
      </c>
      <c r="F8" t="inlineStr">
        <is>
          <t>הוראת קבע</t>
        </is>
      </c>
      <c r="G8" t="inlineStr">
        <is>
          <t>העברה מאת: גל ברזני, שני ול 10-635-001111123 וועד בית דירה 56</t>
        </is>
      </c>
    </row>
    <row r="9">
      <c r="A9" t="inlineStr">
        <is>
          <t>05/04/2026</t>
        </is>
      </c>
      <c r="B9" t="n">
        <v>320</v>
      </c>
      <c r="C9" t="inlineStr">
        <is>
          <t>הכנסה מדיירים</t>
        </is>
      </c>
      <c r="D9" t="n">
        <v>40</v>
      </c>
      <c r="E9" t="inlineStr">
        <is>
          <t>אסרף אורטל 11-107-081754738</t>
        </is>
      </c>
      <c r="F9" t="inlineStr">
        <is>
          <t>בנק דיסקונט</t>
        </is>
      </c>
      <c r="G9" t="inlineStr">
        <is>
          <t>העברה מאת: אסרף אורטל 11-107-081754738</t>
        </is>
      </c>
    </row>
    <row r="10">
      <c r="A10" t="inlineStr">
        <is>
          <t>05/04/2026</t>
        </is>
      </c>
      <c r="B10" t="n">
        <v>350</v>
      </c>
      <c r="C10" t="inlineStr">
        <is>
          <t>הכנסה מדיירים</t>
        </is>
      </c>
      <c r="D10" t="n">
        <v>25</v>
      </c>
      <c r="E10" t="inlineStr">
        <is>
          <t>כחלון שלו ו/או ח 14-350-105236062 וועד בית דירה 25 (הערת לקוח)</t>
        </is>
      </c>
      <c r="F10" t="inlineStr">
        <is>
          <t>בנק אוצר החיל</t>
        </is>
      </c>
      <c r="G10" t="inlineStr">
        <is>
          <t>העברה מאת: כחלון שלו ו/או ח 14-350-105236062 וועד בית דירה 25 (הערת לקוח)</t>
        </is>
      </c>
    </row>
    <row r="11">
      <c r="A11" t="inlineStr">
        <is>
          <t>05/04/2026</t>
        </is>
      </c>
      <c r="B11" t="n">
        <v>350</v>
      </c>
      <c r="C11" t="inlineStr">
        <is>
          <t>הכנסה מדיירים</t>
        </is>
      </c>
      <c r="D11" t="n">
        <v>43</v>
      </c>
      <c r="E11" t="inlineStr">
        <is>
          <t>קטרינה שליאק 10-838-002943311 דירה 43 משפחת שליאק</t>
        </is>
      </c>
      <c r="F11" t="inlineStr">
        <is>
          <t>הוראת קבע</t>
        </is>
      </c>
      <c r="G11" t="inlineStr">
        <is>
          <t>העברה מאת: קטרינה שליאק 10-838-002943311 דירה 43 משפחת שליאק</t>
        </is>
      </c>
    </row>
    <row r="12">
      <c r="A12" t="inlineStr">
        <is>
          <t>06/04/2026</t>
        </is>
      </c>
      <c r="B12" t="n">
        <v>350</v>
      </c>
      <c r="C12" t="inlineStr">
        <is>
          <t>הכנסה מדיירים</t>
        </is>
      </c>
      <c r="D12" t="n">
        <v>32</v>
      </c>
      <c r="E12" t="inlineStr">
        <is>
          <t>היבה ריזק 10-840-002040614 ועד בית דירה 32 קומה 7</t>
        </is>
      </c>
      <c r="F12" t="inlineStr">
        <is>
          <t>הוראת קבע</t>
        </is>
      </c>
      <c r="G12" t="inlineStr">
        <is>
          <t>העברה מאת: היבה ריזק 10-840-002040614 ועד בית דירה 32 קומה 7</t>
        </is>
      </c>
    </row>
    <row r="13">
      <c r="A13" t="inlineStr">
        <is>
          <t>07/04/2026</t>
        </is>
      </c>
      <c r="B13" t="n">
        <v>350</v>
      </c>
      <c r="C13" t="inlineStr">
        <is>
          <t>הכנסה מדיירים</t>
        </is>
      </c>
      <c r="D13" t="n">
        <v>31</v>
      </c>
      <c r="E13" t="inlineStr">
        <is>
          <t>זאדה הודיה 12-703-000404555 תשלום חודשי משפחת זאדה</t>
        </is>
      </c>
      <c r="F13" t="inlineStr">
        <is>
          <t>בנק הפועלים</t>
        </is>
      </c>
      <c r="G13" t="inlineStr">
        <is>
          <t>העברה מאת: זאדה הודיה 12-703-000404555 תשלום חודשי משפחת זאדה</t>
        </is>
      </c>
    </row>
    <row r="14">
      <c r="A14" t="inlineStr">
        <is>
          <t>09/04/2026</t>
        </is>
      </c>
      <c r="B14" t="n">
        <v>350</v>
      </c>
      <c r="C14" t="inlineStr">
        <is>
          <t>הכנסה מדיירים</t>
        </is>
      </c>
      <c r="D14" t="n">
        <v>54</v>
      </c>
      <c r="E14" t="inlineStr">
        <is>
          <t>יוספה אמור</t>
        </is>
      </c>
      <c r="F14" t="inlineStr">
        <is>
          <t>הוראת קבע</t>
        </is>
      </c>
      <c r="G14" t="inlineStr">
        <is>
          <t>העברה מאת: יוספה אמור, בנימ 10-885-000271821 תשלום בהוראת קבע</t>
        </is>
      </c>
    </row>
    <row r="15">
      <c r="A15" t="inlineStr">
        <is>
          <t>09/04/2026</t>
        </is>
      </c>
      <c r="B15" t="n">
        <v>350</v>
      </c>
      <c r="C15" t="inlineStr">
        <is>
          <t>הכנסה מדיירים</t>
        </is>
      </c>
      <c r="D15" t="n">
        <v>28</v>
      </c>
      <c r="E15" t="inlineStr">
        <is>
          <t>וולושין אלכסנדר 10-879-057984481 ועד בית</t>
        </is>
      </c>
      <c r="F15" t="inlineStr">
        <is>
          <t>הוראת קבע</t>
        </is>
      </c>
      <c r="G15" t="inlineStr">
        <is>
          <t>העברה מאת: וולושין אלכסנדר 10-879-057984481 ועד בית</t>
        </is>
      </c>
    </row>
    <row r="16">
      <c r="A16" t="inlineStr">
        <is>
          <t>10/04/2026</t>
        </is>
      </c>
      <c r="B16" t="n">
        <v>350</v>
      </c>
      <c r="C16" t="inlineStr">
        <is>
          <t>הכנסה מדיירים</t>
        </is>
      </c>
      <c r="D16" t="n">
        <v>21</v>
      </c>
      <c r="E16" t="inlineStr">
        <is>
          <t>סימקין טרוסטיאני 11-097-132698643 ועד הבית - סימקין דירה 21</t>
        </is>
      </c>
      <c r="F16" t="inlineStr">
        <is>
          <t>בנק דיסקונט</t>
        </is>
      </c>
      <c r="G16" t="inlineStr">
        <is>
          <t>העברה מאת: סימקין טרוסטיאני 11-097-132698643 ועד הבית - סימקין דירה 21</t>
        </is>
      </c>
    </row>
    <row r="17">
      <c r="A17" t="inlineStr">
        <is>
          <t>10/04/2026</t>
        </is>
      </c>
      <c r="B17" t="n">
        <v>350</v>
      </c>
      <c r="C17" t="inlineStr">
        <is>
          <t>הכנסה מדיירים</t>
        </is>
      </c>
      <c r="D17" t="n">
        <v>4</v>
      </c>
      <c r="E17" t="inlineStr">
        <is>
          <t>רומנו לינצקי סיו 11-107-075555974</t>
        </is>
      </c>
      <c r="F17" t="inlineStr">
        <is>
          <t>בנק דיסקונט</t>
        </is>
      </c>
      <c r="G17" t="inlineStr">
        <is>
          <t>העברה מאת: רומנו לינצקי סיו 11-107-075555974</t>
        </is>
      </c>
    </row>
    <row r="18">
      <c r="A18" t="inlineStr">
        <is>
          <t>10/04/2026</t>
        </is>
      </c>
      <c r="B18" t="n">
        <v>350</v>
      </c>
      <c r="C18" t="inlineStr">
        <is>
          <t>הכנסה מדיירים</t>
        </is>
      </c>
      <c r="D18" t="n">
        <v>60</v>
      </c>
      <c r="E18" t="inlineStr">
        <is>
          <t>שרביט גל</t>
        </is>
      </c>
      <c r="F18" t="inlineStr">
        <is>
          <t>בנק דיסקונט</t>
        </is>
      </c>
      <c r="G18" t="inlineStr">
        <is>
          <t>העברה מאת: שרביט גל,טויזר נ 11-107-205119303 דירה 60</t>
        </is>
      </c>
    </row>
    <row r="19">
      <c r="A19" t="inlineStr">
        <is>
          <t>10/04/2026</t>
        </is>
      </c>
      <c r="B19" t="n">
        <v>350</v>
      </c>
      <c r="C19" t="inlineStr">
        <is>
          <t>הכנסה מדיירים</t>
        </is>
      </c>
      <c r="D19" t="n">
        <v>9</v>
      </c>
      <c r="E19" t="inlineStr">
        <is>
          <t>בייבקוב קו 12-701-000262613 דירה 9</t>
        </is>
      </c>
      <c r="F19" t="inlineStr">
        <is>
          <t>בנק הפועלים</t>
        </is>
      </c>
      <c r="G19" t="inlineStr">
        <is>
          <t>העברה מאת: בייבקוב קו 12-701-000262613 דירה 9</t>
        </is>
      </c>
    </row>
    <row r="20">
      <c r="A20" t="inlineStr">
        <is>
          <t>10/04/2026</t>
        </is>
      </c>
      <c r="B20" t="n">
        <v>350</v>
      </c>
      <c r="C20" t="inlineStr">
        <is>
          <t>הכנסה מדיירים</t>
        </is>
      </c>
      <c r="D20" t="n">
        <v>44</v>
      </c>
      <c r="E20" t="inlineStr">
        <is>
          <t>צ`רניאק בו 12-703-000466089 דירה 44</t>
        </is>
      </c>
      <c r="F20" t="inlineStr">
        <is>
          <t>בנק הפועלים</t>
        </is>
      </c>
      <c r="G20" t="inlineStr">
        <is>
          <t>העברה מאת: צ`רניאק בו 12-703-000466089 דירה 44, תשלום ועד</t>
        </is>
      </c>
    </row>
    <row r="21">
      <c r="A21" t="inlineStr">
        <is>
          <t>10/04/2026</t>
        </is>
      </c>
      <c r="B21" t="n">
        <v>350</v>
      </c>
      <c r="C21" t="inlineStr">
        <is>
          <t>הכנסה מדיירים</t>
        </is>
      </c>
      <c r="D21" t="n">
        <v>57</v>
      </c>
      <c r="E21" t="inlineStr">
        <is>
          <t>אל איי הנד 12-703-000496840 ועד דירה 57</t>
        </is>
      </c>
      <c r="F21" t="inlineStr">
        <is>
          <t>בנק הפועלים</t>
        </is>
      </c>
      <c r="G21" t="inlineStr">
        <is>
          <t>העברה מאת: אל איי הנד 12-703-000496840 ועד דירה 57</t>
        </is>
      </c>
    </row>
    <row r="22">
      <c r="A22" t="inlineStr">
        <is>
          <t>10/04/2026</t>
        </is>
      </c>
      <c r="B22" t="n">
        <v>350</v>
      </c>
      <c r="C22" t="inlineStr">
        <is>
          <t>הכנסה מדיירים</t>
        </is>
      </c>
      <c r="D22" t="n">
        <v>30</v>
      </c>
      <c r="E22" t="inlineStr">
        <is>
          <t>אסולין יעק 12-704-000263394 ועד בית</t>
        </is>
      </c>
      <c r="F22" t="inlineStr">
        <is>
          <t>בנק הפועלים</t>
        </is>
      </c>
      <c r="G22" t="inlineStr">
        <is>
          <t>העברה מאת: אסולין יעק 12-704-000263394 ועד בית</t>
        </is>
      </c>
    </row>
    <row r="23">
      <c r="A23" t="inlineStr">
        <is>
          <t>10/04/2026</t>
        </is>
      </c>
      <c r="B23" t="n">
        <v>350</v>
      </c>
      <c r="C23" t="inlineStr">
        <is>
          <t>הכנסה מדיירים</t>
        </is>
      </c>
      <c r="D23" t="n">
        <v>52</v>
      </c>
      <c r="E23" t="inlineStr">
        <is>
          <t>פולונסקי א 12-728-000012111 דירה 52</t>
        </is>
      </c>
      <c r="F23" t="inlineStr">
        <is>
          <t>בנק הפועלים</t>
        </is>
      </c>
      <c r="G23" t="inlineStr">
        <is>
          <t>העברה מאת: פולונסקי א 12-728-000012111 דירה 52</t>
        </is>
      </c>
    </row>
    <row r="24">
      <c r="A24" t="inlineStr">
        <is>
          <t>10/04/2026</t>
        </is>
      </c>
      <c r="B24" t="n">
        <v>350</v>
      </c>
      <c r="C24" t="inlineStr">
        <is>
          <t>הכנסה מדיירים</t>
        </is>
      </c>
      <c r="D24" t="n">
        <v>55</v>
      </c>
      <c r="E24" t="inlineStr">
        <is>
          <t>מוגילבסקי 12-728-000685973 תשלום וועד דירה 55</t>
        </is>
      </c>
      <c r="F24" t="inlineStr">
        <is>
          <t>בנק הפועלים</t>
        </is>
      </c>
      <c r="G24" t="inlineStr">
        <is>
          <t>העברה מאת: מוגילבסקי 12-728-000685973 תשלום וועד דירה 55</t>
        </is>
      </c>
    </row>
    <row r="25">
      <c r="A25" t="inlineStr">
        <is>
          <t>10/04/2026</t>
        </is>
      </c>
      <c r="B25" t="n">
        <v>350</v>
      </c>
      <c r="C25" t="inlineStr">
        <is>
          <t>הכנסה מדיירים</t>
        </is>
      </c>
      <c r="D25" t="n">
        <v>15</v>
      </c>
      <c r="E25" t="inlineStr">
        <is>
          <t>כהן אביאל 14-350-000175551 ועד בית</t>
        </is>
      </c>
      <c r="F25" t="inlineStr">
        <is>
          <t>בנק אוצר החיל</t>
        </is>
      </c>
      <c r="G25" t="inlineStr">
        <is>
          <t>העברה מאת: כהן אביאל 14-350-000175551 ועד בית</t>
        </is>
      </c>
    </row>
    <row r="26">
      <c r="A26" t="inlineStr">
        <is>
          <t>10/04/2026</t>
        </is>
      </c>
      <c r="B26" t="n">
        <v>350</v>
      </c>
      <c r="C26" t="inlineStr">
        <is>
          <t>הכנסה מדיירים</t>
        </is>
      </c>
      <c r="D26" t="n">
        <v>42</v>
      </c>
      <c r="E26" t="inlineStr">
        <is>
          <t>זלץ ניר ו/או נט 14-362-105079420 העברה לוועד בית</t>
        </is>
      </c>
      <c r="F26" t="inlineStr">
        <is>
          <t>בנק אוצר החיל</t>
        </is>
      </c>
      <c r="G26" t="inlineStr">
        <is>
          <t>העברה מאת: זלץ ניר ו/או נט 14-362-105079420 העברה לוועד בית</t>
        </is>
      </c>
    </row>
    <row r="27">
      <c r="A27" t="inlineStr">
        <is>
          <t>10/04/2026</t>
        </is>
      </c>
      <c r="B27" t="n">
        <v>350</v>
      </c>
      <c r="C27" t="inlineStr">
        <is>
          <t>הכנסה מדיירים</t>
        </is>
      </c>
      <c r="D27" t="n">
        <v>59</v>
      </c>
      <c r="E27" t="inlineStr">
        <is>
          <t>איטח ענת ו/או רפ 14-362-000321489 איטח ענת ורפי</t>
        </is>
      </c>
      <c r="F27" t="inlineStr">
        <is>
          <t>בנק אוצר החיל</t>
        </is>
      </c>
      <c r="G27" t="inlineStr">
        <is>
          <t>העברה מאת: איטח ענת ו/או רפ 14-362-000321489 איטח ענת ורפי</t>
        </is>
      </c>
    </row>
    <row r="28">
      <c r="A28" t="inlineStr">
        <is>
          <t>10/04/2026</t>
        </is>
      </c>
      <c r="B28" t="n">
        <v>350</v>
      </c>
      <c r="C28" t="inlineStr">
        <is>
          <t>הכנסה מדיירים</t>
        </is>
      </c>
      <c r="D28" t="n">
        <v>7</v>
      </c>
      <c r="E28" t="inlineStr">
        <is>
          <t>וולמיר רות ואלכס 20-441-000075228 עבור דירה 7</t>
        </is>
      </c>
      <c r="F28" t="inlineStr">
        <is>
          <t>בנק מזרחי</t>
        </is>
      </c>
      <c r="G28" t="inlineStr">
        <is>
          <t>העברה מאת: וולמיר רות ואלכס 20-441-000075228 עבור דירה 7</t>
        </is>
      </c>
    </row>
    <row r="29">
      <c r="A29" t="inlineStr">
        <is>
          <t>10/04/2026</t>
        </is>
      </c>
      <c r="B29" t="n">
        <v>350</v>
      </c>
      <c r="C29" t="inlineStr">
        <is>
          <t>הכנסה מדיירים</t>
        </is>
      </c>
      <c r="D29" t="n">
        <v>46</v>
      </c>
      <c r="E29" t="inlineStr">
        <is>
          <t>קוטיגרו מיכאל 10-948-057374636 תשלום</t>
        </is>
      </c>
      <c r="F29" t="inlineStr">
        <is>
          <t>הוראת קבע</t>
        </is>
      </c>
      <c r="G29" t="inlineStr">
        <is>
          <t>העברה מאת: קוטיגרו מיכאל 10-948-057374636 תשלום</t>
        </is>
      </c>
    </row>
    <row r="30">
      <c r="A30" t="inlineStr">
        <is>
          <t>10/04/2026</t>
        </is>
      </c>
      <c r="B30" t="n">
        <v>350</v>
      </c>
      <c r="C30" t="inlineStr">
        <is>
          <t>הכנסה מדיירים</t>
        </is>
      </c>
      <c r="D30" t="n">
        <v>5</v>
      </c>
      <c r="E30" t="inlineStr">
        <is>
          <t>בר ברקת ישראלי</t>
        </is>
      </c>
      <c r="F30" t="inlineStr">
        <is>
          <t>הוראת קבע</t>
        </is>
      </c>
      <c r="G30" t="inlineStr">
        <is>
          <t>העברה מאת: בר ברקת ישראלי, 10-716-002056289 ועד בית דירה 5</t>
        </is>
      </c>
    </row>
    <row r="31">
      <c r="A31" t="inlineStr">
        <is>
          <t>10/04/2026</t>
        </is>
      </c>
      <c r="B31" t="n">
        <v>350</v>
      </c>
      <c r="C31" t="inlineStr">
        <is>
          <t>הכנסה מדיירים</t>
        </is>
      </c>
      <c r="D31" t="n">
        <v>10</v>
      </c>
      <c r="E31" t="inlineStr">
        <is>
          <t>לאוניד שכטמן 10-705-012376080 ועד בית</t>
        </is>
      </c>
      <c r="F31" t="inlineStr">
        <is>
          <t>הוראת קבע</t>
        </is>
      </c>
      <c r="G31" t="inlineStr">
        <is>
          <t>העברה מאת: לאוניד שכטמן 10-705-012376080 ועד בית</t>
        </is>
      </c>
    </row>
    <row r="32">
      <c r="A32" t="inlineStr">
        <is>
          <t>10/04/2026</t>
        </is>
      </c>
      <c r="B32" t="n">
        <v>350</v>
      </c>
      <c r="C32" t="inlineStr">
        <is>
          <t>הכנסה מדיירים</t>
        </is>
      </c>
      <c r="D32" t="n">
        <v>8</v>
      </c>
      <c r="E32" t="inlineStr">
        <is>
          <t>מנגסטה יטמין 10-885-001146229 דירה 8</t>
        </is>
      </c>
      <c r="F32" t="inlineStr">
        <is>
          <t>הוראת קבע</t>
        </is>
      </c>
      <c r="G32" t="inlineStr">
        <is>
          <t>העברה מאת: מנגסטה יטמין 10-885-001146229 דירה 8</t>
        </is>
      </c>
    </row>
    <row r="33">
      <c r="A33" t="inlineStr">
        <is>
          <t>12/04/2026</t>
        </is>
      </c>
      <c r="B33" t="n">
        <v>350</v>
      </c>
      <c r="C33" t="inlineStr">
        <is>
          <t>הכנסה מדיירים</t>
        </is>
      </c>
      <c r="D33" t="n">
        <v>20</v>
      </c>
      <c r="E33" t="inlineStr">
        <is>
          <t>פרחי נדב</t>
        </is>
      </c>
      <c r="F33" t="inlineStr">
        <is>
          <t>בנק דיסקונט</t>
        </is>
      </c>
      <c r="G33" t="inlineStr">
        <is>
          <t>העברה מאת: פרחי נדב,פרחי שי 11-107-003913440</t>
        </is>
      </c>
    </row>
    <row r="34">
      <c r="A34" t="inlineStr">
        <is>
          <t>12/04/2026</t>
        </is>
      </c>
      <c r="B34" t="n">
        <v>250</v>
      </c>
      <c r="C34" t="inlineStr">
        <is>
          <t>הכנסה מדיירים</t>
        </is>
      </c>
      <c r="D34" t="n">
        <v>1</v>
      </c>
      <c r="E34" t="inlineStr">
        <is>
          <t>אלייב שלמה -שלומ 12-703-000624018 קופה קטנה ועד אגמית תשלום שני</t>
        </is>
      </c>
      <c r="F34" t="inlineStr">
        <is>
          <t>בנק הפועלים</t>
        </is>
      </c>
      <c r="G34" t="inlineStr">
        <is>
          <t>העברה מאת: אלייב שלמה -שלומ 12-703-000624018 קופה קטנה ועד אגמית תשלום שני</t>
        </is>
      </c>
    </row>
    <row r="35">
      <c r="A35" t="inlineStr">
        <is>
          <t>12/04/2026</t>
        </is>
      </c>
      <c r="B35" t="n">
        <v>350</v>
      </c>
      <c r="C35" t="inlineStr">
        <is>
          <t>הכנסה מדיירים</t>
        </is>
      </c>
      <c r="D35" t="n">
        <v>1</v>
      </c>
      <c r="E35" t="inlineStr">
        <is>
          <t>אלייב שלמה -שלומ 12-703-000624018 ועד בית חודש אפריל</t>
        </is>
      </c>
      <c r="F35" t="inlineStr">
        <is>
          <t>בנק הפועלים</t>
        </is>
      </c>
      <c r="G35" t="inlineStr">
        <is>
          <t>העברה מאת: אלייב שלמה -שלומ 12-703-000624018 ועד בית חודש אפריל</t>
        </is>
      </c>
    </row>
    <row r="36">
      <c r="A36" t="inlineStr">
        <is>
          <t>12/04/2026</t>
        </is>
      </c>
      <c r="B36" t="n">
        <v>500</v>
      </c>
      <c r="C36" t="inlineStr">
        <is>
          <t>הכנסה מדיירים</t>
        </is>
      </c>
      <c r="D36" t="n">
        <v>30</v>
      </c>
      <c r="E36" t="inlineStr">
        <is>
          <t>אסולין יעקב ובן 12-704-000263394 קופה קטנה דירה 30</t>
        </is>
      </c>
      <c r="F36" t="inlineStr">
        <is>
          <t>בנק הפועלים</t>
        </is>
      </c>
      <c r="G36" t="inlineStr">
        <is>
          <t>העברה מאת: אסולין יעקב ובן 12-704-000263394 קופה קטנה דירה 30</t>
        </is>
      </c>
    </row>
    <row r="37">
      <c r="A37" t="inlineStr">
        <is>
          <t>12/04/2026</t>
        </is>
      </c>
      <c r="B37" t="n">
        <v>350</v>
      </c>
      <c r="C37" t="inlineStr">
        <is>
          <t>הכנסה מדיירים</t>
        </is>
      </c>
      <c r="D37" t="n">
        <v>50</v>
      </c>
      <c r="E37" t="inlineStr">
        <is>
          <t>מיכאל זבוליוב</t>
        </is>
      </c>
      <c r="F37" t="inlineStr">
        <is>
          <t>הוראת קבע</t>
        </is>
      </c>
      <c r="G37" t="inlineStr">
        <is>
          <t>העברה מאת: מיכאל זבוליוב, א 10-885-002348011 ועד בית</t>
        </is>
      </c>
    </row>
    <row r="38">
      <c r="A38" t="inlineStr">
        <is>
          <t>12/04/2026</t>
        </is>
      </c>
      <c r="B38" t="n">
        <v>550</v>
      </c>
      <c r="C38" t="inlineStr">
        <is>
          <t>הכנסה מדיירים</t>
        </is>
      </c>
      <c r="D38" t="n">
        <v>22</v>
      </c>
      <c r="E38" t="inlineStr">
        <is>
          <t>סוזאנה שושנה 10-885-010687480 דירה 22 ועד אפריל קק חלק</t>
        </is>
      </c>
      <c r="F38" t="inlineStr">
        <is>
          <t>העברה דיגיטל</t>
        </is>
      </c>
      <c r="G38" t="inlineStr">
        <is>
          <t>העברה מאת: סוזאנה שושנה 10-885-010687480 דירה 22 ועד אפריל קק חלק</t>
        </is>
      </c>
    </row>
    <row r="39">
      <c r="A39" t="inlineStr">
        <is>
          <t>14/04/2026</t>
        </is>
      </c>
      <c r="B39" t="n">
        <v>350</v>
      </c>
      <c r="C39" t="inlineStr">
        <is>
          <t>הכנסה מדיירים</t>
        </is>
      </c>
      <c r="D39" t="n">
        <v>16</v>
      </c>
      <c r="E39" t="inlineStr">
        <is>
          <t>מקייס סאספורתס ק 14-362-105318123 וועד (הערת לקוח)</t>
        </is>
      </c>
      <c r="F39" t="inlineStr">
        <is>
          <t>בנק אוצר החיל</t>
        </is>
      </c>
      <c r="G39" t="inlineStr">
        <is>
          <t>העברה מאת: מקייס סאספורתס ק 14-362-105318123 וועד (הערת לקוח)</t>
        </is>
      </c>
    </row>
    <row r="40">
      <c r="A40" t="inlineStr">
        <is>
          <t>14/04/2026</t>
        </is>
      </c>
      <c r="B40" t="n">
        <v>350</v>
      </c>
      <c r="C40" t="inlineStr">
        <is>
          <t>הכנסה מדיירים</t>
        </is>
      </c>
      <c r="D40" t="n">
        <v>24</v>
      </c>
      <c r="E40" t="inlineStr">
        <is>
          <t>לב משה ו/או מרקו 31-007-105009100 דירה 24 מש לב (הערת לקוח)</t>
        </is>
      </c>
      <c r="F40" t="inlineStr">
        <is>
          <t>מהבינלאומי ס-י</t>
        </is>
      </c>
      <c r="G40" t="inlineStr">
        <is>
          <t>העברה מאת: לב משה ו/או מרקו 31-007-105009100 דירה 24 מש לב (הערת לקוח)</t>
        </is>
      </c>
    </row>
    <row r="41">
      <c r="A41" t="inlineStr">
        <is>
          <t>15/04/2026</t>
        </is>
      </c>
      <c r="B41" t="n">
        <v>350</v>
      </c>
      <c r="C41" t="inlineStr">
        <is>
          <t>הכנסה מדיירים</t>
        </is>
      </c>
      <c r="D41" t="n">
        <v>36</v>
      </c>
      <c r="E41" t="inlineStr">
        <is>
          <t>יונה חמד 04-140-000473912</t>
        </is>
      </c>
      <c r="F41" t="inlineStr">
        <is>
          <t>מבנק יהב ס.-י</t>
        </is>
      </c>
      <c r="G41" t="inlineStr">
        <is>
          <t>העברה מאת: יונה חמד 04-140-000473912</t>
        </is>
      </c>
    </row>
    <row r="42">
      <c r="A42" t="inlineStr">
        <is>
          <t>15/04/2026</t>
        </is>
      </c>
      <c r="B42" t="n">
        <v>350</v>
      </c>
      <c r="C42" t="inlineStr">
        <is>
          <t>הכנסה מדיירים</t>
        </is>
      </c>
      <c r="D42" t="n">
        <v>23</v>
      </c>
      <c r="E42" t="inlineStr">
        <is>
          <t>ממן אושרי 12-703-000364148 תשלום ועד משפחת ממן</t>
        </is>
      </c>
      <c r="F42" t="inlineStr">
        <is>
          <t>בנק הפועלים</t>
        </is>
      </c>
      <c r="G42" t="inlineStr">
        <is>
          <t>העברה מאת: ממן אושרי 12-703-000364148 תשלום ועד משפחת ממן</t>
        </is>
      </c>
    </row>
    <row r="43">
      <c r="A43" t="inlineStr">
        <is>
          <t>15/04/2026</t>
        </is>
      </c>
      <c r="B43" t="n">
        <v>350</v>
      </c>
      <c r="C43" t="inlineStr">
        <is>
          <t>הכנסה מדיירים</t>
        </is>
      </c>
      <c r="D43" t="n">
        <v>48</v>
      </c>
      <c r="E43" t="inlineStr">
        <is>
          <t>רובקין מרגריטה ו 20-444-000494106</t>
        </is>
      </c>
      <c r="F43" t="inlineStr">
        <is>
          <t>בנק מזרחי</t>
        </is>
      </c>
      <c r="G43" t="inlineStr">
        <is>
          <t>העברה מאת: רובקין מרגריטה ו 20-444-000494106</t>
        </is>
      </c>
    </row>
    <row r="44">
      <c r="A44" t="inlineStr">
        <is>
          <t>15/04/2026</t>
        </is>
      </c>
      <c r="B44" t="n">
        <v>350</v>
      </c>
      <c r="C44" t="inlineStr">
        <is>
          <t>הכנסה מדיירים</t>
        </is>
      </c>
      <c r="D44" t="n">
        <v>13</v>
      </c>
      <c r="E44" t="inlineStr">
        <is>
          <t>בכר שי 20-523-000260701</t>
        </is>
      </c>
      <c r="F44" t="inlineStr">
        <is>
          <t>בנק מזרחי</t>
        </is>
      </c>
      <c r="G44" t="inlineStr">
        <is>
          <t>העברה מאת: בכר שי 20-523-000260701</t>
        </is>
      </c>
    </row>
    <row r="45">
      <c r="A45" t="inlineStr">
        <is>
          <t>15/04/2026</t>
        </is>
      </c>
      <c r="B45" t="n">
        <v>350</v>
      </c>
      <c r="C45" t="inlineStr">
        <is>
          <t>הכנסה מדיירים</t>
        </is>
      </c>
      <c r="D45" t="n">
        <v>11</v>
      </c>
      <c r="E45" t="inlineStr">
        <is>
          <t>חן לוי</t>
        </is>
      </c>
      <c r="F45" t="inlineStr">
        <is>
          <t>הוראת קבע</t>
        </is>
      </c>
      <c r="G45" t="inlineStr">
        <is>
          <t>העברה מאת: חן לוי, נתנאל לו 10-885-002439793 שכר דירה</t>
        </is>
      </c>
    </row>
    <row r="46">
      <c r="A46" t="inlineStr">
        <is>
          <t>15/04/2026</t>
        </is>
      </c>
      <c r="B46" t="n">
        <v>350</v>
      </c>
      <c r="C46" t="inlineStr">
        <is>
          <t>הכנסה מדיירים</t>
        </is>
      </c>
      <c r="D46" t="n">
        <v>6</v>
      </c>
      <c r="E46" t="inlineStr">
        <is>
          <t>רביבו מאור 10-885-001567984 ועד בית דירה 6</t>
        </is>
      </c>
      <c r="F46" t="inlineStr">
        <is>
          <t>הוראת קבע</t>
        </is>
      </c>
      <c r="G46" t="inlineStr">
        <is>
          <t>העברה מאת: רביבו מאור 10-885-001567984 ועד בית דירה 6</t>
        </is>
      </c>
    </row>
    <row r="47">
      <c r="A47" t="inlineStr">
        <is>
          <t>15/04/2026</t>
        </is>
      </c>
      <c r="B47" t="n">
        <v>350</v>
      </c>
      <c r="C47" t="inlineStr">
        <is>
          <t>הכנסה מדיירים</t>
        </is>
      </c>
      <c r="D47" t="n">
        <v>45</v>
      </c>
      <c r="E47" t="inlineStr">
        <is>
          <t>טטיאנה סיגל</t>
        </is>
      </c>
      <c r="F47" t="inlineStr">
        <is>
          <t>הוראת קבע</t>
        </is>
      </c>
      <c r="G47" t="inlineStr">
        <is>
          <t>העברה מאת: טטיאנה סיגל, אלי 10-882-020472034 תשלום</t>
        </is>
      </c>
    </row>
    <row r="48">
      <c r="A48" t="inlineStr">
        <is>
          <t>15/04/2026</t>
        </is>
      </c>
      <c r="B48" t="n">
        <v>350</v>
      </c>
      <c r="C48" t="inlineStr">
        <is>
          <t>הכנסה מדיירים</t>
        </is>
      </c>
      <c r="D48" t="n">
        <v>35</v>
      </c>
      <c r="E48" t="inlineStr">
        <is>
          <t>גלמן אירינה 10-877-002493094 ועד בית</t>
        </is>
      </c>
      <c r="F48" t="inlineStr">
        <is>
          <t>הוראת קבע</t>
        </is>
      </c>
      <c r="G48" t="inlineStr">
        <is>
          <t>העברה מאת: גלמן אירינה 10-877-002493094 ועד בית</t>
        </is>
      </c>
    </row>
    <row r="49">
      <c r="A49" t="inlineStr">
        <is>
          <t>15/04/2026</t>
        </is>
      </c>
      <c r="B49" t="n">
        <v>350</v>
      </c>
      <c r="C49" t="inlineStr">
        <is>
          <t>הכנסה מדיירים</t>
        </is>
      </c>
      <c r="D49" t="n">
        <v>51</v>
      </c>
      <c r="E49" t="inlineStr">
        <is>
          <t>קטרין קוט 10-891-004022651 ועד דירה 51 אריסון</t>
        </is>
      </c>
      <c r="F49" t="inlineStr">
        <is>
          <t>הוראת קבע</t>
        </is>
      </c>
      <c r="G49" t="inlineStr">
        <is>
          <t>העברה מאת: קטרין קוט 10-891-004022651 ועד דירה 51 אריסון</t>
        </is>
      </c>
    </row>
    <row r="50">
      <c r="A50" t="inlineStr">
        <is>
          <t>17/04/2026</t>
        </is>
      </c>
      <c r="B50" t="n">
        <v>350</v>
      </c>
      <c r="C50" t="inlineStr">
        <is>
          <t>הכנסה מדיירים</t>
        </is>
      </c>
      <c r="D50" t="n">
        <v>34</v>
      </c>
      <c r="E50" t="inlineStr">
        <is>
          <t>סיגלוב דמיטרי או 12-703-000021291 סיגלוב דירה 34</t>
        </is>
      </c>
      <c r="F50" t="inlineStr">
        <is>
          <t>בנק הפועלים</t>
        </is>
      </c>
      <c r="G50" t="inlineStr">
        <is>
          <t>העברה מאת: סיגלוב דמיטרי או 12-703-000021291 סיגלוב דירה 34</t>
        </is>
      </c>
    </row>
    <row r="51">
      <c r="A51" t="inlineStr">
        <is>
          <t>23/04/2026</t>
        </is>
      </c>
      <c r="B51" t="n">
        <v>350</v>
      </c>
      <c r="C51" t="inlineStr">
        <is>
          <t>לא ידוע</t>
        </is>
      </c>
      <c r="D51" t="inlineStr">
        <is>
          <t>לא זוהה</t>
        </is>
      </c>
      <c r="E51" t="inlineStr">
        <is>
          <t>לא ידוע</t>
        </is>
      </c>
      <c r="F51" t="inlineStr">
        <is>
          <t>הפקדת שיק</t>
        </is>
      </c>
    </row>
    <row r="52">
      <c r="A52" t="inlineStr">
        <is>
          <t>27/04/2026</t>
        </is>
      </c>
      <c r="B52" t="n">
        <v>700</v>
      </c>
      <c r="C52" t="inlineStr">
        <is>
          <t>הכנסה מדיירים</t>
        </is>
      </c>
      <c r="D52" t="n">
        <v>2</v>
      </c>
      <c r="E52" t="inlineStr">
        <is>
          <t>פיליפ אלברט 10-916-004497512 וועד בית אפריל ומאי דירה 2</t>
        </is>
      </c>
      <c r="F52" t="inlineStr">
        <is>
          <t>העברה דיגיטל</t>
        </is>
      </c>
      <c r="G52" t="inlineStr">
        <is>
          <t>העברה מאת: פיליפ אלברט 10-916-004497512 וועד בית אפריל ומאי דירה 2</t>
        </is>
      </c>
    </row>
    <row r="53">
      <c r="A53" t="inlineStr">
        <is>
          <t>27/04/2026</t>
        </is>
      </c>
      <c r="B53" t="n">
        <v>350</v>
      </c>
      <c r="C53" t="inlineStr">
        <is>
          <t>הכנסה מדיירים</t>
        </is>
      </c>
      <c r="D53" t="n">
        <v>58</v>
      </c>
      <c r="E53" t="inlineStr">
        <is>
          <t>אליאס סמעאן 10-877-003268585 תשלום</t>
        </is>
      </c>
      <c r="F53" t="inlineStr">
        <is>
          <t>העברה דיגיטל</t>
        </is>
      </c>
      <c r="G53" t="inlineStr">
        <is>
          <t>העברה מאת: אליאס סמעאן 10-877-003268585 תשלום</t>
        </is>
      </c>
    </row>
    <row r="54">
      <c r="A54" t="inlineStr">
        <is>
          <t>27/04/2026</t>
        </is>
      </c>
      <c r="B54" t="n">
        <v>700</v>
      </c>
      <c r="C54" t="inlineStr">
        <is>
          <t>הכנסה מדיירים</t>
        </is>
      </c>
      <c r="D54" t="n">
        <v>14</v>
      </c>
      <c r="E54" t="inlineStr">
        <is>
          <t>ירין חיים מל 10-882-046518869 ועד בית</t>
        </is>
      </c>
      <c r="F54" t="inlineStr">
        <is>
          <t>העברה דיגיטל</t>
        </is>
      </c>
      <c r="G54" t="inlineStr">
        <is>
          <t>העברה מאת: ירין חיים מל 10-882-046518869 ועד בית</t>
        </is>
      </c>
    </row>
    <row r="55">
      <c r="A55" t="inlineStr">
        <is>
          <t>28/04/2026</t>
        </is>
      </c>
      <c r="B55" t="n">
        <v>350</v>
      </c>
      <c r="C55" t="inlineStr">
        <is>
          <t>הכנסה מדיירים</t>
        </is>
      </c>
      <c r="D55" t="n">
        <v>18</v>
      </c>
      <c r="E55" t="inlineStr">
        <is>
          <t>לגסה סיטוטאו יטא 12-700-000089393 חודש רביעי</t>
        </is>
      </c>
      <c r="F55" t="inlineStr">
        <is>
          <t>בנק הפועלים</t>
        </is>
      </c>
      <c r="G55" t="inlineStr">
        <is>
          <t>העברה מאת: לגסה סיטוטאו יטא 12-700-000089393 חודש רביעי</t>
        </is>
      </c>
    </row>
    <row r="56">
      <c r="A56" t="inlineStr">
        <is>
          <t>29/04/2026</t>
        </is>
      </c>
      <c r="B56" t="n">
        <v>350</v>
      </c>
      <c r="C56" t="inlineStr">
        <is>
          <t>הכנסה מדיירים</t>
        </is>
      </c>
      <c r="D56" t="n">
        <v>49</v>
      </c>
      <c r="E56" t="inlineStr">
        <is>
          <t>תמר ברנר</t>
        </is>
      </c>
      <c r="F56" t="inlineStr">
        <is>
          <t>הוראת קבע</t>
        </is>
      </c>
      <c r="G56" t="inlineStr">
        <is>
          <t>העברה מאת: תמר ברנר, דן ברנ 10-885-004050720 ועד בית דירה 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Entity_Name</t>
        </is>
      </c>
      <c r="E1" t="inlineStr">
        <is>
          <t>Original_Desc</t>
        </is>
      </c>
      <c r="F1" t="inlineStr">
        <is>
          <t>Original_Ext_Desc</t>
        </is>
      </c>
    </row>
    <row r="2">
      <c r="A2" t="inlineStr">
        <is>
          <t>01/04/2026</t>
        </is>
      </c>
      <c r="B2" t="n">
        <v>-25</v>
      </c>
      <c r="C2" t="inlineStr">
        <is>
          <t>מסלול בנק</t>
        </is>
      </c>
      <c r="D2" t="inlineStr">
        <is>
          <t>בנק</t>
        </is>
      </c>
      <c r="E2" t="inlineStr">
        <is>
          <t>מסלול מורחב</t>
        </is>
      </c>
    </row>
    <row r="3">
      <c r="A3" t="inlineStr">
        <is>
          <t>01/04/2026</t>
        </is>
      </c>
      <c r="B3" t="n">
        <v>-26.4</v>
      </c>
      <c r="C3" t="inlineStr">
        <is>
          <t>עמלות בנק</t>
        </is>
      </c>
      <c r="D3" t="inlineStr">
        <is>
          <t>בנק</t>
        </is>
      </c>
      <c r="E3" t="inlineStr">
        <is>
          <t>עמל.ערוץ יש 16</t>
        </is>
      </c>
      <c r="F3" t="inlineStr">
        <is>
          <t>סכום החיוב מייצג את מספר התנועות שבוצעו בערוץ ישיר/פקיד.  מספר התנועות מופיע בסמוך למלל. 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4">
      <c r="A4" t="inlineStr">
        <is>
          <t>03/04/2026</t>
        </is>
      </c>
      <c r="B4" t="n">
        <v>-77</v>
      </c>
      <c r="C4" t="inlineStr">
        <is>
          <t>Novula - מסך טלויזיה</t>
        </is>
      </c>
      <c r="D4" t="inlineStr">
        <is>
          <t>נובולה</t>
        </is>
      </c>
      <c r="E4" t="inlineStr">
        <is>
          <t>נובולה בע"מ-י</t>
        </is>
      </c>
    </row>
    <row r="5">
      <c r="A5" t="inlineStr">
        <is>
          <t>09/04/2026</t>
        </is>
      </c>
      <c r="B5" t="n">
        <v>-7500</v>
      </c>
      <c r="C5" t="inlineStr">
        <is>
          <t>יניב אחזקות</t>
        </is>
      </c>
      <c r="D5" t="inlineStr">
        <is>
          <t>גל אנתבי</t>
        </is>
      </c>
      <c r="E5" t="inlineStr">
        <is>
          <t>הוראת קבע</t>
        </is>
      </c>
      <c r="F5" t="inlineStr">
        <is>
          <t>העברה ל: גל אנתבי 20-505-00159972 תאריך סיום: 09.12.2027 ניקיון האגמית 7</t>
        </is>
      </c>
    </row>
    <row r="6">
      <c r="A6" t="inlineStr">
        <is>
          <t>10/04/2026</t>
        </is>
      </c>
      <c r="B6" t="n">
        <v>-981</v>
      </c>
      <c r="C6" t="inlineStr">
        <is>
          <t>ביטוח</t>
        </is>
      </c>
      <c r="D6" t="inlineStr">
        <is>
          <t>ש.שלמה חברה</t>
        </is>
      </c>
      <c r="E6" t="inlineStr">
        <is>
          <t>ש.שלמה חברה-י</t>
        </is>
      </c>
    </row>
    <row r="7">
      <c r="A7" t="inlineStr">
        <is>
          <t>17/04/2026</t>
        </is>
      </c>
      <c r="B7" t="n">
        <v>-239</v>
      </c>
      <c r="C7" t="inlineStr">
        <is>
          <t>הוצאה (העברה)</t>
        </is>
      </c>
      <c r="D7" t="inlineStr">
        <is>
          <t>אבישי שורץ 11-076-006640178 צבע</t>
        </is>
      </c>
      <c r="E7" t="inlineStr">
        <is>
          <t>הע. אינטרנט</t>
        </is>
      </c>
      <c r="F7" t="inlineStr">
        <is>
          <t>העברה אל: אבישי שורץ 11-076-006640178 צבע</t>
        </is>
      </c>
    </row>
    <row r="8">
      <c r="A8" t="inlineStr">
        <is>
          <t>17/04/2026</t>
        </is>
      </c>
      <c r="B8" t="n">
        <v>-69</v>
      </c>
      <c r="C8" t="inlineStr">
        <is>
          <t>הוצאה (העברה)</t>
        </is>
      </c>
      <c r="D8" t="inlineStr">
        <is>
          <t>אבישי שורץ 11-076-006640178 מברשת פלדה דגל</t>
        </is>
      </c>
      <c r="E8" t="inlineStr">
        <is>
          <t>הע. אינטרנט</t>
        </is>
      </c>
      <c r="F8" t="inlineStr">
        <is>
          <t>העברה אל: אבישי שורץ 11-076-006640178 מברשת פלדה דגל</t>
        </is>
      </c>
    </row>
    <row r="9">
      <c r="A9" t="inlineStr">
        <is>
          <t>20/04/2026</t>
        </is>
      </c>
      <c r="B9" t="n">
        <v>-2006</v>
      </c>
      <c r="C9" t="inlineStr">
        <is>
          <t>הוצאה (העברה)</t>
        </is>
      </c>
      <c r="D9" t="inlineStr">
        <is>
          <t>יעקב אלישע 12-719-000272874 האגמית 7 חיטוי מאגרים</t>
        </is>
      </c>
      <c r="E9" t="inlineStr">
        <is>
          <t>העברה דיגיטל</t>
        </is>
      </c>
      <c r="F9" t="inlineStr">
        <is>
          <t>העברה אל: יעקב אלישע 12-719-000272874 האגמית 7 חיטוי מאגרים</t>
        </is>
      </c>
    </row>
    <row r="10">
      <c r="A10" t="inlineStr">
        <is>
          <t>21/04/2026</t>
        </is>
      </c>
      <c r="B10" t="n">
        <v>-20.9</v>
      </c>
      <c r="C10" t="inlineStr">
        <is>
          <t>הוצאה (העברה)</t>
        </is>
      </c>
      <c r="D10" t="inlineStr">
        <is>
          <t>אבישי שורץ 11-076-006640178 דגל יום עצמאות</t>
        </is>
      </c>
      <c r="E10" t="inlineStr">
        <is>
          <t>הע. אינטרנט</t>
        </is>
      </c>
      <c r="F10" t="inlineStr">
        <is>
          <t>העברה אל: אבישי שורץ 11-076-006640178 דגל יום עצמאות</t>
        </is>
      </c>
    </row>
    <row r="11">
      <c r="A11" t="inlineStr">
        <is>
          <t>23/04/2026</t>
        </is>
      </c>
      <c r="B11" t="n">
        <v>-400</v>
      </c>
      <c r="C11" t="inlineStr">
        <is>
          <t>הוצאה (העברה)</t>
        </is>
      </c>
      <c r="D11" t="inlineStr">
        <is>
          <t>יניב מאיר 20-505-000159972 האגמית 7 דגלים</t>
        </is>
      </c>
      <c r="E11" t="inlineStr">
        <is>
          <t>הע. אינטרנט</t>
        </is>
      </c>
      <c r="F11" t="inlineStr">
        <is>
          <t>העברה אל: יניב מאיר 20-505-000159972 האגמית 7 דגלים</t>
        </is>
      </c>
    </row>
    <row r="12">
      <c r="A12" t="inlineStr">
        <is>
          <t>24/04/2026</t>
        </is>
      </c>
      <c r="B12" t="n">
        <v>-90.77</v>
      </c>
      <c r="C12" t="inlineStr">
        <is>
          <t>פרטנר</t>
        </is>
      </c>
      <c r="D12" t="inlineStr">
        <is>
          <t>חברת פרטנר</t>
        </is>
      </c>
      <c r="E12" t="inlineStr">
        <is>
          <t>חברת פרטנר ת-י</t>
        </is>
      </c>
    </row>
    <row r="13">
      <c r="A13" t="inlineStr">
        <is>
          <t>26/04/2026</t>
        </is>
      </c>
      <c r="B13" t="n">
        <v>-3353.66</v>
      </c>
      <c r="C13" t="inlineStr">
        <is>
          <t>חשמל ציבורי</t>
        </is>
      </c>
      <c r="D13" t="inlineStr">
        <is>
          <t>חברת החשמל</t>
        </is>
      </c>
      <c r="E13" t="inlineStr">
        <is>
          <t>חברת החשמל ל-י</t>
        </is>
      </c>
    </row>
    <row r="14">
      <c r="A14" t="inlineStr">
        <is>
          <t>30/04/2026</t>
        </is>
      </c>
      <c r="B14" t="n">
        <v>-24.57</v>
      </c>
      <c r="C14" t="inlineStr">
        <is>
          <t>בזק</t>
        </is>
      </c>
      <c r="D14" t="inlineStr">
        <is>
          <t>בזק-הוראות</t>
        </is>
      </c>
      <c r="E14" t="inlineStr">
        <is>
          <t>בזק-הוראות ק-י</t>
        </is>
      </c>
    </row>
    <row r="15">
      <c r="A15" t="inlineStr">
        <is>
          <t>30/04/2026</t>
        </is>
      </c>
      <c r="B15" t="n">
        <v>-4558.28</v>
      </c>
      <c r="C15" t="inlineStr">
        <is>
          <t>קונה מעליות</t>
        </is>
      </c>
      <c r="D15" t="inlineStr">
        <is>
          <t>קונה</t>
        </is>
      </c>
      <c r="E15" t="inlineStr">
        <is>
          <t>קונה בע"מ-י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2026-05-02T18:58:32Z</dcterms:modified>
  <cp:lastModifiedBy>Daniel V</cp:lastModifiedBy>
</cp:coreProperties>
</file>