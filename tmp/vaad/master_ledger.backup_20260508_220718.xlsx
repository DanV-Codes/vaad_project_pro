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/>
      <c r="J2" s="62" t="n"/>
      <c r="K2" s="62" t="n"/>
      <c r="L2" s="62" t="n"/>
      <c r="M2" s="62" t="n"/>
      <c r="N2" s="62" t="n"/>
      <c r="O2" s="62" t="n"/>
      <c r="P2" s="63" t="n"/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P3" s="46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O4" s="50" t="n"/>
      <c r="P4" s="46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/>
      <c r="J5" s="62" t="n"/>
      <c r="K5" s="62" t="n"/>
      <c r="L5" s="62" t="n"/>
      <c r="M5" s="62" t="n"/>
      <c r="N5" s="62" t="n"/>
      <c r="O5" s="63" t="n"/>
      <c r="P5" s="63" t="n"/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P6" s="46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P7" s="46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P8" s="46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O9" s="46" t="n"/>
      <c r="P9" s="46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/>
      <c r="J10" s="62" t="n"/>
      <c r="K10" s="62" t="n"/>
      <c r="L10" s="62" t="n"/>
      <c r="M10" s="62" t="n"/>
      <c r="N10" s="62" t="n"/>
      <c r="O10" s="62" t="n"/>
      <c r="P10" s="63" t="n"/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P11" s="46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P12" s="46" t="n"/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P14" s="46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/>
      <c r="I15" s="62" t="n"/>
      <c r="J15" s="62" t="n"/>
      <c r="K15" s="62" t="n"/>
      <c r="L15" s="62" t="n"/>
      <c r="M15" s="62" t="n"/>
      <c r="N15" s="62" t="n"/>
      <c r="O15" s="62" t="n"/>
      <c r="P15" s="63" t="n"/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P16" s="46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P17" s="46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O18" s="149" t="n"/>
      <c r="P18" s="156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O19" s="46" t="n"/>
      <c r="P19" s="46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P21" s="46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P22" s="46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P23" s="46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P24" s="46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/>
      <c r="J25" s="62" t="n"/>
      <c r="K25" s="62" t="n"/>
      <c r="L25" s="62" t="n"/>
      <c r="M25" s="62" t="n"/>
      <c r="N25" s="62" t="n"/>
      <c r="O25" s="62" t="n"/>
      <c r="P25" s="63" t="n"/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P26" s="46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P28" s="46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O29" s="50" t="n"/>
      <c r="P29" s="46" t="n"/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/>
      <c r="L30" s="62" t="n"/>
      <c r="M30" s="62" t="n"/>
      <c r="N30" s="62" t="n"/>
      <c r="O30" s="150" t="n"/>
      <c r="P30" s="157" t="n"/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O31" s="149" t="n"/>
      <c r="P31" s="156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P32" s="46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P33" s="46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/>
      <c r="J35" s="62" t="n"/>
      <c r="K35" s="62" t="n"/>
      <c r="L35" s="62" t="n"/>
      <c r="M35" s="62" t="n"/>
      <c r="N35" s="62" t="n"/>
      <c r="O35" s="62" t="n"/>
      <c r="P35" s="63" t="n"/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P36" s="46" t="n"/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P37" s="46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P38" s="46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/>
      <c r="J40" s="62" t="n"/>
      <c r="K40" s="62" t="n"/>
      <c r="L40" s="62" t="n"/>
      <c r="M40" s="62" t="n"/>
      <c r="N40" s="62" t="n"/>
      <c r="O40" s="62" t="n"/>
      <c r="P40" s="63" t="n"/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/>
      <c r="P41" s="46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P42" s="46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P43" s="46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P44" s="46" t="n"/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/>
      <c r="J45" s="62" t="n"/>
      <c r="K45" s="62" t="n"/>
      <c r="L45" s="62" t="n"/>
      <c r="M45" s="62" t="n"/>
      <c r="N45" s="62" t="n"/>
      <c r="O45" s="62" t="n"/>
      <c r="P45" s="63" t="n"/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P46" s="46" t="n"/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P47" s="46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P49" s="46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/>
      <c r="J50" s="62" t="n"/>
      <c r="K50" s="62" t="n"/>
      <c r="L50" s="62" t="n"/>
      <c r="M50" s="62" t="n"/>
      <c r="N50" s="62" t="n"/>
      <c r="O50" s="62" t="n"/>
      <c r="P50" s="63" t="n"/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O51" s="149" t="n"/>
      <c r="P51" s="156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P52" s="46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P53" s="46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/>
      <c r="H54" s="53" t="n"/>
      <c r="I54" s="53" t="n"/>
      <c r="J54" s="53" t="n"/>
      <c r="K54" s="53" t="n"/>
      <c r="L54" s="53" t="n"/>
      <c r="M54" s="53" t="n"/>
      <c r="N54" s="53" t="n"/>
      <c r="O54" s="152" t="n"/>
      <c r="P54" s="172" t="n"/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P55" s="46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P56" s="46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P57" s="46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P58" s="46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P59" s="156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/>
      <c r="J60" s="62" t="n"/>
      <c r="K60" s="62" t="n"/>
      <c r="L60" s="62" t="n"/>
      <c r="M60" s="62" t="n"/>
      <c r="N60" s="62" t="n"/>
      <c r="O60" s="62" t="n"/>
      <c r="P60" s="63" t="n"/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/>
      <c r="J61" s="53" t="n"/>
      <c r="K61" s="53" t="n"/>
      <c r="L61" s="53" t="n"/>
      <c r="M61" s="53" t="n"/>
      <c r="N61" s="53" t="n"/>
      <c r="O61" s="53" t="n"/>
      <c r="P61" s="55" t="n"/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/>
      <c r="G2" s="246" t="n"/>
      <c r="H2" s="246" t="n"/>
      <c r="I2" s="246" t="n"/>
      <c r="J2" s="246" t="n"/>
      <c r="K2" s="246" t="n"/>
      <c r="L2" s="246" t="n"/>
      <c r="M2" s="246" t="n"/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/>
      <c r="G3" s="246" t="n"/>
      <c r="H3" s="246" t="n"/>
      <c r="I3" s="246" t="n"/>
      <c r="J3" s="246" t="n"/>
      <c r="K3" s="246" t="n"/>
      <c r="L3" s="246" t="n"/>
      <c r="M3" s="246" t="n"/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/>
      <c r="G4" s="246" t="n"/>
      <c r="H4" s="246" t="n"/>
      <c r="I4" s="246" t="n"/>
      <c r="J4" s="246" t="n"/>
      <c r="K4" s="246" t="n"/>
      <c r="L4" s="246" t="n"/>
      <c r="M4" s="246" t="n"/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/>
      <c r="G5" s="246" t="n"/>
      <c r="H5" s="246" t="n"/>
      <c r="I5" s="246" t="n"/>
      <c r="J5" s="246" t="n"/>
      <c r="K5" s="246" t="n"/>
      <c r="L5" s="246" t="n"/>
      <c r="M5" s="246" t="n"/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/>
      <c r="G6" s="246" t="n"/>
      <c r="H6" s="246" t="n"/>
      <c r="I6" s="246" t="n"/>
      <c r="J6" s="246" t="n"/>
      <c r="K6" s="246" t="n"/>
      <c r="L6" s="246" t="n"/>
      <c r="M6" s="246" t="n"/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/>
      <c r="F7" s="246" t="n"/>
      <c r="G7" s="246" t="n"/>
      <c r="H7" s="246" t="n"/>
      <c r="I7" s="246" t="n"/>
      <c r="J7" s="246" t="n"/>
      <c r="K7" s="246" t="n"/>
      <c r="L7" s="246" t="n"/>
      <c r="M7" s="246" t="n"/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/>
      <c r="G8" s="246" t="n"/>
      <c r="H8" s="246" t="n"/>
      <c r="I8" s="246" t="n"/>
      <c r="J8" s="246" t="n"/>
      <c r="K8" s="246" t="n"/>
      <c r="L8" s="246" t="n"/>
      <c r="M8" s="246" t="n"/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>
        <f>77+74.25</f>
        <v/>
      </c>
      <c r="E9" s="246" t="n">
        <v>77</v>
      </c>
      <c r="F9" s="246" t="n"/>
      <c r="G9" s="246" t="n"/>
      <c r="H9" s="246" t="n"/>
      <c r="I9" s="246" t="n"/>
      <c r="J9" s="246" t="n"/>
      <c r="K9" s="246" t="n"/>
      <c r="L9" s="246" t="n"/>
      <c r="M9" s="246" t="n"/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>
        <f>24.57+24.57</f>
        <v/>
      </c>
      <c r="E10" s="246" t="n">
        <v>24.57</v>
      </c>
      <c r="F10" s="246" t="n"/>
      <c r="G10" s="246" t="n"/>
      <c r="H10" s="246" t="n"/>
      <c r="I10" s="246" t="n"/>
      <c r="J10" s="246" t="n"/>
      <c r="K10" s="246" t="n"/>
      <c r="L10" s="246" t="n"/>
      <c r="M10" s="246" t="n"/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>
        <f>500+700+48.38+177+665+650+350</f>
        <v/>
      </c>
      <c r="D13" s="249" t="n">
        <v>6500</v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7" t="n"/>
      <c r="O13" s="248" t="n"/>
    </row>
    <row r="14">
      <c r="A14" s="19" t="inlineStr">
        <is>
          <t>קופה קטנה</t>
        </is>
      </c>
      <c r="B14" s="249">
        <f>'קופה קטנה'!B43</f>
        <v/>
      </c>
      <c r="C14" s="249">
        <f>'קופה קטנה'!C43</f>
        <v/>
      </c>
      <c r="D14" s="249">
        <f>'קופה קטנה'!D43</f>
        <v/>
      </c>
      <c r="E14" s="249">
        <f>'קופה קטנה'!E43</f>
        <v/>
      </c>
      <c r="F14" s="249">
        <f>'קופה קטנה'!F43</f>
        <v/>
      </c>
      <c r="G14" s="249">
        <f>'קופה קטנה'!G43</f>
        <v/>
      </c>
      <c r="H14" s="249">
        <f>'קופה קטנה'!H43</f>
        <v/>
      </c>
      <c r="I14" s="249">
        <f>'קופה קטנה'!I43</f>
        <v/>
      </c>
      <c r="J14" s="249">
        <f>'קופה קטנה'!J43</f>
        <v/>
      </c>
      <c r="K14" s="249">
        <f>'קופה קטנה'!K43</f>
        <v/>
      </c>
      <c r="L14" s="249">
        <f>'קופה קטנה'!L43</f>
        <v/>
      </c>
      <c r="M14" s="249">
        <f>'קופה קטנה'!M43</f>
        <v/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>
        <f>SUM(B2:B13)</f>
        <v/>
      </c>
      <c r="C16" s="250">
        <f>SUM(C2:C13)</f>
        <v/>
      </c>
      <c r="D16" s="250">
        <f>SUM(D2:D13)</f>
        <v/>
      </c>
      <c r="E16" s="250">
        <f>SUM(E2:E13)</f>
        <v/>
      </c>
      <c r="F16" s="250">
        <f>SUM(F2:F13)</f>
        <v/>
      </c>
      <c r="G16" s="250">
        <f>SUM(G2:G13)</f>
        <v/>
      </c>
      <c r="H16" s="250">
        <f>SUM(H2:H13)</f>
        <v/>
      </c>
      <c r="I16" s="250">
        <f>SUM(I2:I13)</f>
        <v/>
      </c>
      <c r="J16" s="250">
        <f>SUM(J2:J13)</f>
        <v/>
      </c>
      <c r="K16" s="250">
        <f>SUM(K2:K13)</f>
        <v/>
      </c>
      <c r="L16" s="250">
        <f>SUM(L2:L13)</f>
        <v/>
      </c>
      <c r="M16" s="250">
        <f>SUM(M2:M13)</f>
        <v/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>
        <f>SUM(B14)</f>
        <v/>
      </c>
      <c r="C17" s="250">
        <f>SUM(C14)</f>
        <v/>
      </c>
      <c r="D17" s="250">
        <f>SUM(D14)</f>
        <v/>
      </c>
      <c r="E17" s="250">
        <f>SUM(E14)</f>
        <v/>
      </c>
      <c r="F17" s="250">
        <f>SUM(F14)</f>
        <v/>
      </c>
      <c r="G17" s="250">
        <f>SUM(G14)</f>
        <v/>
      </c>
      <c r="H17" s="250">
        <f>SUM(H14)</f>
        <v/>
      </c>
      <c r="I17" s="250">
        <f>SUM(I14)</f>
        <v/>
      </c>
      <c r="J17" s="250">
        <f>SUM(J14)</f>
        <v/>
      </c>
      <c r="K17" s="250">
        <f>SUM(K14)</f>
        <v/>
      </c>
      <c r="L17" s="250">
        <f>SUM(L14)</f>
        <v/>
      </c>
      <c r="M17" s="250">
        <f>SUM(M14)</f>
        <v/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>
        <f>SUM(B16:B17)</f>
        <v/>
      </c>
      <c r="C18" s="250">
        <f>SUM(C16:C17)</f>
        <v/>
      </c>
      <c r="D18" s="250">
        <f>SUM(D16:D17)</f>
        <v/>
      </c>
      <c r="E18" s="250">
        <f>SUM(E16:E17)</f>
        <v/>
      </c>
      <c r="F18" s="250">
        <f>SUM(F16:F17)</f>
        <v/>
      </c>
      <c r="G18" s="250">
        <f>SUM(G16:G17)</f>
        <v/>
      </c>
      <c r="H18" s="250">
        <f>SUM(H16:H17)</f>
        <v/>
      </c>
      <c r="I18" s="250">
        <f>SUM(I16:I17)</f>
        <v/>
      </c>
      <c r="J18" s="250">
        <f>SUM(J16:J17)</f>
        <v/>
      </c>
      <c r="K18" s="250">
        <f>SUM(K16:K17)</f>
        <v/>
      </c>
      <c r="L18" s="250">
        <f>SUM(L16:L17)</f>
        <v/>
      </c>
      <c r="M18" s="250">
        <f>SUM(M16:M17)</f>
        <v/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>
        <f>'גביה 2026'!E62</f>
        <v/>
      </c>
      <c r="C19" s="246">
        <f>'גביה 2026'!F62</f>
        <v/>
      </c>
      <c r="D19" s="246">
        <f>'גביה 2026'!G62</f>
        <v/>
      </c>
      <c r="E19" s="246">
        <f>'גביה 2026'!H62</f>
        <v/>
      </c>
      <c r="F19" s="246">
        <f>'גביה 2026'!I62</f>
        <v/>
      </c>
      <c r="G19" s="246">
        <f>'גביה 2026'!J62</f>
        <v/>
      </c>
      <c r="H19" s="246">
        <f>'גביה 2026'!K62</f>
        <v/>
      </c>
      <c r="I19" s="246">
        <f>'גביה 2026'!L62</f>
        <v/>
      </c>
      <c r="J19" s="246">
        <f>'גביה 2026'!M62</f>
        <v/>
      </c>
      <c r="K19" s="246">
        <f>'גביה 2026'!N62</f>
        <v/>
      </c>
      <c r="L19" s="246">
        <f>'גביה 2026'!O62</f>
        <v/>
      </c>
      <c r="M19" s="246">
        <f>'גביה 2026'!P62</f>
        <v/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22/4/2026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31,251.59</t>
        </is>
      </c>
      <c r="B7" s="154" t="n"/>
      <c r="C7" s="154" t="inlineStr">
        <is>
          <t>₪ 0.00</t>
        </is>
      </c>
      <c r="D7" s="154" t="n"/>
      <c r="E7" s="154" t="inlineStr">
        <is>
          <t>22.04.26</t>
        </is>
      </c>
      <c r="F7" s="154" t="n"/>
      <c r="G7" s="182" t="n"/>
      <c r="H7" s="182" t="n"/>
    </row>
    <row r="8" ht="15" customHeight="1" s="177">
      <c r="A8" s="154" t="inlineStr">
        <is>
          <t>* כולל תנועות היום</t>
        </is>
      </c>
      <c r="B8" s="154" t="n"/>
      <c r="C8" s="182" t="n"/>
      <c r="D8" s="182" t="n"/>
      <c r="E8" s="182" t="n"/>
      <c r="F8" s="182" t="n"/>
      <c r="G8" s="182" t="n"/>
      <c r="H8" s="182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5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55" t="n"/>
      <c r="C11" s="155" t="n"/>
      <c r="D11" s="155" t="n"/>
      <c r="E11" s="155" t="n"/>
      <c r="F11" s="155" t="n"/>
      <c r="G11" s="155" t="n"/>
      <c r="H11" s="155" t="n"/>
    </row>
    <row r="12" ht="15" customHeight="1" s="177">
      <c r="A12" s="154" t="inlineStr">
        <is>
          <t>תנועות בחשבון</t>
        </is>
      </c>
      <c r="B12" s="154" t="n"/>
      <c r="C12" s="154" t="n"/>
      <c r="D12" s="154" t="n"/>
      <c r="E12" s="154" t="n"/>
      <c r="F12" s="154" t="n"/>
      <c r="G12" s="154" t="n"/>
      <c r="H12" s="154" t="n"/>
    </row>
    <row r="13">
      <c r="A13" s="154" t="inlineStr">
        <is>
          <t>תאריך</t>
        </is>
      </c>
      <c r="B13" s="154" t="inlineStr">
        <is>
          <t>תאריך ערך</t>
        </is>
      </c>
      <c r="C13" s="154" t="inlineStr">
        <is>
          <t>תיאור</t>
        </is>
      </c>
      <c r="D13" s="154" t="inlineStr">
        <is>
          <t>אסמכתא</t>
        </is>
      </c>
      <c r="E13" s="154" t="inlineStr">
        <is>
          <t>בחובה</t>
        </is>
      </c>
      <c r="F13" s="154" t="inlineStr">
        <is>
          <t>בזכות</t>
        </is>
      </c>
      <c r="G13" s="154" t="inlineStr">
        <is>
          <t>היתרה בש"ח</t>
        </is>
      </c>
      <c r="H13" s="154" t="inlineStr">
        <is>
          <t>תאור מורחב</t>
        </is>
      </c>
    </row>
    <row r="14" customFormat="1" s="6">
      <c r="A14" s="4" t="n">
        <v>46026</v>
      </c>
      <c r="B14" s="4" t="n">
        <v>46026</v>
      </c>
      <c r="C14" s="6" t="inlineStr">
        <is>
          <t>הפקדת שיק</t>
        </is>
      </c>
      <c r="D14" s="6" t="n">
        <v>210835</v>
      </c>
      <c r="E14" s="6" t="n">
        <v>0</v>
      </c>
      <c r="F14" s="6" t="n">
        <v>350</v>
      </c>
      <c r="G14" s="5" t="n">
        <v>25205.89</v>
      </c>
      <c r="H14" s="6" t="n"/>
    </row>
    <row r="15" customFormat="1" s="6">
      <c r="A15" s="4" t="n">
        <v>46026</v>
      </c>
      <c r="B15" s="4" t="n">
        <v>46026</v>
      </c>
      <c r="C15" s="6" t="inlineStr">
        <is>
          <t>בנק הפועלים</t>
        </is>
      </c>
      <c r="D15" s="6" t="n">
        <v>99012</v>
      </c>
      <c r="E15" s="6" t="n">
        <v>0</v>
      </c>
      <c r="F15" s="6" t="n">
        <v>320</v>
      </c>
      <c r="G15" s="5" t="n">
        <v>25525.89</v>
      </c>
      <c r="H15" s="6" t="inlineStr">
        <is>
          <t>העברה מאת: ברייב יולי 12-701-000404014 ועד בית</t>
        </is>
      </c>
    </row>
    <row r="16" customFormat="1" s="6">
      <c r="A16" s="4" t="n">
        <v>46026</v>
      </c>
      <c r="B16" s="4" t="n">
        <v>46026</v>
      </c>
      <c r="C16" s="6" t="inlineStr">
        <is>
          <t>בנק הפועלים</t>
        </is>
      </c>
      <c r="D16" s="6" t="n">
        <v>99012</v>
      </c>
      <c r="E16" s="6" t="n">
        <v>0</v>
      </c>
      <c r="F16" s="6" t="n">
        <v>350</v>
      </c>
      <c r="G16" s="5" t="n">
        <v>25875.89</v>
      </c>
      <c r="H16" s="6" t="inlineStr">
        <is>
          <t>העברה מאת: רועי ולי-ש 12-700-000616685 ועד בית</t>
        </is>
      </c>
    </row>
    <row r="17" customFormat="1" s="6">
      <c r="A17" s="4" t="n">
        <v>46026</v>
      </c>
      <c r="B17" s="4" t="n">
        <v>46026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26225.89</v>
      </c>
      <c r="H17" s="6" t="inlineStr">
        <is>
          <t>העברה מאת: מנגיסטו דג 12-703-000091338 לוועד הבית</t>
        </is>
      </c>
    </row>
    <row r="18" customFormat="1" s="6">
      <c r="A18" s="4" t="n">
        <v>46026</v>
      </c>
      <c r="B18" s="4" t="n">
        <v>46026</v>
      </c>
      <c r="C18" s="6" t="inlineStr">
        <is>
          <t>הוראת קבע</t>
        </is>
      </c>
      <c r="D18" s="6" t="n">
        <v>4873628</v>
      </c>
      <c r="E18" s="6" t="n">
        <v>0</v>
      </c>
      <c r="F18" s="6" t="n">
        <v>350</v>
      </c>
      <c r="G18" s="5" t="n">
        <v>26575.89</v>
      </c>
      <c r="H18" s="6" t="inlineStr">
        <is>
          <t>העברה מאת: אליזבט בינשטוק, 10-891-003641132 תשלום בהוראת קבע</t>
        </is>
      </c>
    </row>
    <row r="19">
      <c r="A19" s="183" t="n">
        <v>46026</v>
      </c>
      <c r="B19" s="183" t="n">
        <v>46026</v>
      </c>
      <c r="C19" s="154" t="inlineStr">
        <is>
          <t>מסלול מורחב</t>
        </is>
      </c>
      <c r="D19" s="154" t="n">
        <v>44842</v>
      </c>
      <c r="E19" s="154" t="n">
        <v>25</v>
      </c>
      <c r="F19" s="154" t="n">
        <v>0</v>
      </c>
      <c r="G19" s="181" t="n">
        <v>26550.89</v>
      </c>
      <c r="H19" s="182" t="n"/>
    </row>
    <row r="20">
      <c r="A20" s="183" t="n">
        <v>46026</v>
      </c>
      <c r="B20" s="183" t="n">
        <v>46026</v>
      </c>
      <c r="C20" s="154" t="inlineStr">
        <is>
          <t>עמל.ערוץ יש 16</t>
        </is>
      </c>
      <c r="D20" s="154" t="n">
        <v>16</v>
      </c>
      <c r="E20" s="154" t="n">
        <v>26.4</v>
      </c>
      <c r="F20" s="154" t="n">
        <v>0</v>
      </c>
      <c r="G20" s="181" t="n">
        <v>26524.49</v>
      </c>
      <c r="H20" s="154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83" t="n">
        <v>46085</v>
      </c>
      <c r="B21" s="183" t="n">
        <v>46085</v>
      </c>
      <c r="C21" s="154" t="inlineStr">
        <is>
          <t>נובולה בע"מ-י</t>
        </is>
      </c>
      <c r="D21" s="154" t="n">
        <v>42663</v>
      </c>
      <c r="E21" s="154" t="n">
        <v>77</v>
      </c>
      <c r="F21" s="154" t="n">
        <v>0</v>
      </c>
      <c r="G21" s="181" t="n">
        <v>26447.49</v>
      </c>
      <c r="H21" s="182" t="n"/>
    </row>
    <row r="22" customFormat="1" s="6">
      <c r="A22" s="4" t="n">
        <v>46085</v>
      </c>
      <c r="B22" s="4" t="n">
        <v>46085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26797.49</v>
      </c>
      <c r="H22" s="6" t="inlineStr">
        <is>
          <t>העברה מאת: פריידמן נטליה 10-882-044876260 תשלום</t>
        </is>
      </c>
    </row>
    <row r="23" customFormat="1" s="6">
      <c r="A23" s="4" t="n">
        <v>46085</v>
      </c>
      <c r="B23" s="4" t="n">
        <v>46085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27147.49</v>
      </c>
      <c r="H23" s="6" t="inlineStr">
        <is>
          <t>העברה מאת: גל ברזני, שני ול 10-635-001111123 וועד בית דירה 56</t>
        </is>
      </c>
    </row>
    <row r="24" customFormat="1" s="6">
      <c r="A24" s="4" t="n">
        <v>46146</v>
      </c>
      <c r="B24" s="4" t="n">
        <v>46146</v>
      </c>
      <c r="C24" s="6" t="inlineStr">
        <is>
          <t>בנק דיסקונט</t>
        </is>
      </c>
      <c r="D24" s="6" t="n">
        <v>99011</v>
      </c>
      <c r="E24" s="6" t="n">
        <v>0</v>
      </c>
      <c r="F24" s="6" t="n">
        <v>320</v>
      </c>
      <c r="G24" s="5" t="n">
        <v>27467.49</v>
      </c>
      <c r="H24" s="6" t="inlineStr">
        <is>
          <t>העברה מאת: אסרף אורטל 11-107-081754738</t>
        </is>
      </c>
    </row>
    <row r="25" customFormat="1" s="6">
      <c r="A25" s="4" t="n">
        <v>46146</v>
      </c>
      <c r="B25" s="4" t="n">
        <v>46146</v>
      </c>
      <c r="C25" s="6" t="inlineStr">
        <is>
          <t>בנק אוצר החיל</t>
        </is>
      </c>
      <c r="D25" s="6" t="n">
        <v>99014</v>
      </c>
      <c r="E25" s="6" t="n">
        <v>0</v>
      </c>
      <c r="F25" s="6" t="n">
        <v>350</v>
      </c>
      <c r="G25" s="5" t="n">
        <v>27817.49</v>
      </c>
      <c r="H25" s="6" t="inlineStr">
        <is>
          <t>העברה מאת: כחלון שלו ו/או ח 14-350-105236062 וועד בית דירה 25 (הערת לקוח)</t>
        </is>
      </c>
    </row>
    <row r="26" customFormat="1" s="6">
      <c r="A26" s="4" t="n">
        <v>46146</v>
      </c>
      <c r="B26" s="4" t="n">
        <v>46146</v>
      </c>
      <c r="C26" s="6" t="inlineStr">
        <is>
          <t>הוראת קבע</t>
        </is>
      </c>
      <c r="D26" s="6" t="n">
        <v>4789577</v>
      </c>
      <c r="E26" s="6" t="n">
        <v>0</v>
      </c>
      <c r="F26" s="6" t="n">
        <v>350</v>
      </c>
      <c r="G26" s="5" t="n">
        <v>28167.49</v>
      </c>
      <c r="H26" s="6" t="inlineStr">
        <is>
          <t>העברה מאת: קטרינה שליאק 10-838-002943311 דירה 43 משפחת שליאק</t>
        </is>
      </c>
    </row>
    <row r="27" customFormat="1" s="6">
      <c r="A27" s="4" t="n">
        <v>46177</v>
      </c>
      <c r="B27" s="4" t="n">
        <v>46177</v>
      </c>
      <c r="C27" s="6" t="inlineStr">
        <is>
          <t>הוראת קבע</t>
        </is>
      </c>
      <c r="D27" s="6" t="n">
        <v>4870113</v>
      </c>
      <c r="E27" s="6" t="n">
        <v>0</v>
      </c>
      <c r="F27" s="6" t="n">
        <v>350</v>
      </c>
      <c r="G27" s="5" t="n">
        <v>28517.49</v>
      </c>
      <c r="H27" s="6" t="inlineStr">
        <is>
          <t>העברה מאת: היבה ריזק 10-840-002040614 ועד בית דירה 32 קומה 7</t>
        </is>
      </c>
    </row>
    <row r="28" customFormat="1" s="6">
      <c r="A28" s="4" t="n">
        <v>46207</v>
      </c>
      <c r="B28" s="4" t="n">
        <v>46207</v>
      </c>
      <c r="C28" s="6" t="inlineStr">
        <is>
          <t>בנק הפועלים</t>
        </is>
      </c>
      <c r="D28" s="6" t="n">
        <v>99012</v>
      </c>
      <c r="E28" s="6" t="n">
        <v>0</v>
      </c>
      <c r="F28" s="6" t="n">
        <v>350</v>
      </c>
      <c r="G28" s="5" t="n">
        <v>28867.49</v>
      </c>
      <c r="H28" s="6" t="inlineStr">
        <is>
          <t>העברה מאת: זאדה הודיה 12-703-000404555 תשלום חודשי משפחת זאדה</t>
        </is>
      </c>
    </row>
    <row r="29" customFormat="1" s="6">
      <c r="A29" s="4" t="n">
        <v>46269</v>
      </c>
      <c r="B29" s="4" t="n">
        <v>46269</v>
      </c>
      <c r="C29" s="6" t="inlineStr">
        <is>
          <t>הוראת קבע</t>
        </is>
      </c>
      <c r="D29" s="6" t="n">
        <v>4763312</v>
      </c>
      <c r="E29" s="6" t="n">
        <v>0</v>
      </c>
      <c r="F29" s="6" t="n">
        <v>350</v>
      </c>
      <c r="G29" s="5" t="n">
        <v>29217.49</v>
      </c>
      <c r="H29" s="6" t="inlineStr">
        <is>
          <t>העברה מאת: יוספה אמור, בנימ 10-885-000271821 תשלום בהוראת קבע</t>
        </is>
      </c>
    </row>
    <row r="30" customFormat="1" s="6">
      <c r="A30" s="4" t="n">
        <v>46269</v>
      </c>
      <c r="B30" s="4" t="n">
        <v>46269</v>
      </c>
      <c r="C30" s="6" t="inlineStr">
        <is>
          <t>הוראת קבע</t>
        </is>
      </c>
      <c r="D30" s="6" t="n">
        <v>4899758</v>
      </c>
      <c r="E30" s="6" t="n">
        <v>0</v>
      </c>
      <c r="F30" s="6" t="n">
        <v>350</v>
      </c>
      <c r="G30" s="5" t="n">
        <v>29567.49</v>
      </c>
      <c r="H30" s="6" t="inlineStr">
        <is>
          <t>העברה מאת: וולושין אלכסנדר 10-879-057984481 ועד בית</t>
        </is>
      </c>
    </row>
    <row r="31">
      <c r="A31" s="183" t="n">
        <v>46269</v>
      </c>
      <c r="B31" s="183" t="n">
        <v>46269</v>
      </c>
      <c r="C31" s="154" t="inlineStr">
        <is>
          <t>הוראת קבע</t>
        </is>
      </c>
      <c r="D31" s="154" t="n">
        <v>4932477</v>
      </c>
      <c r="E31" s="181" t="n">
        <v>7500</v>
      </c>
      <c r="F31" s="154" t="n">
        <v>0</v>
      </c>
      <c r="G31" s="181" t="n">
        <v>22067.49</v>
      </c>
      <c r="H31" s="154" t="inlineStr">
        <is>
          <t>העברה ל: גל אנתבי 20-505-00159972 תאריך סיום: 09.12.2027 ניקיון האגמית 7</t>
        </is>
      </c>
    </row>
    <row r="32">
      <c r="A32" s="183" t="n">
        <v>46299</v>
      </c>
      <c r="B32" s="183" t="n">
        <v>46299</v>
      </c>
      <c r="C32" s="154" t="inlineStr">
        <is>
          <t>ש.שלמה חברה-י</t>
        </is>
      </c>
      <c r="D32" s="154" t="n">
        <v>44855</v>
      </c>
      <c r="E32" s="154" t="n">
        <v>981</v>
      </c>
      <c r="F32" s="154" t="n">
        <v>0</v>
      </c>
      <c r="G32" s="181" t="n">
        <v>21086.49</v>
      </c>
      <c r="H32" s="182" t="n"/>
    </row>
    <row r="33" customFormat="1" s="6">
      <c r="A33" s="4" t="n">
        <v>46299</v>
      </c>
      <c r="B33" s="4" t="n">
        <v>46299</v>
      </c>
      <c r="C33" s="6" t="inlineStr">
        <is>
          <t>בנק דיסקונט</t>
        </is>
      </c>
      <c r="D33" s="6" t="n">
        <v>99011</v>
      </c>
      <c r="E33" s="6" t="n">
        <v>0</v>
      </c>
      <c r="F33" s="6" t="n">
        <v>350</v>
      </c>
      <c r="G33" s="5" t="n">
        <v>21436.49</v>
      </c>
      <c r="H33" s="6" t="inlineStr">
        <is>
          <t>העברה מאת: סימקין טרוסטיאני 11-097-132698643 ועד הבית - סימקין דירה 21</t>
        </is>
      </c>
    </row>
    <row r="34" customFormat="1" s="6">
      <c r="A34" s="4" t="n">
        <v>46299</v>
      </c>
      <c r="B34" s="4" t="n">
        <v>46299</v>
      </c>
      <c r="C34" s="6" t="inlineStr">
        <is>
          <t>בנק דיסקונט</t>
        </is>
      </c>
      <c r="D34" s="6" t="n">
        <v>99011</v>
      </c>
      <c r="E34" s="6" t="n">
        <v>0</v>
      </c>
      <c r="F34" s="6" t="n">
        <v>350</v>
      </c>
      <c r="G34" s="5" t="n">
        <v>21786.49</v>
      </c>
      <c r="H34" s="6" t="inlineStr">
        <is>
          <t>העברה מאת: רומנו לינצקי סיו 11-107-075555974</t>
        </is>
      </c>
    </row>
    <row r="35" customFormat="1" s="6">
      <c r="A35" s="4" t="n">
        <v>46299</v>
      </c>
      <c r="B35" s="4" t="n">
        <v>46299</v>
      </c>
      <c r="C35" s="6" t="inlineStr">
        <is>
          <t>בנק דיסקונט</t>
        </is>
      </c>
      <c r="D35" s="6" t="n">
        <v>99011</v>
      </c>
      <c r="E35" s="6" t="n">
        <v>0</v>
      </c>
      <c r="F35" s="6" t="n">
        <v>350</v>
      </c>
      <c r="G35" s="5" t="n">
        <v>22136.49</v>
      </c>
      <c r="H35" s="6" t="inlineStr">
        <is>
          <t>העברה מאת: שרביט גל,טויזר נ 11-107-205119303 דירה 60</t>
        </is>
      </c>
    </row>
    <row r="36" customFormat="1" s="6">
      <c r="A36" s="4" t="n">
        <v>46299</v>
      </c>
      <c r="B36" s="4" t="n">
        <v>46299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22486.49</v>
      </c>
      <c r="H36" s="6" t="inlineStr">
        <is>
          <t>העברה מאת: בייבקוב קו 12-701-000262613 דירה 9</t>
        </is>
      </c>
    </row>
    <row r="37" customFormat="1" s="6">
      <c r="A37" s="4" t="n">
        <v>46299</v>
      </c>
      <c r="B37" s="4" t="n">
        <v>46299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22836.49</v>
      </c>
      <c r="H37" s="6" t="inlineStr">
        <is>
          <t>העברה מאת: צ`רניאק בו 12-703-000466089 דירה 44, תשלום ועד</t>
        </is>
      </c>
    </row>
    <row r="38" customFormat="1" s="6">
      <c r="A38" s="4" t="n">
        <v>46299</v>
      </c>
      <c r="B38" s="4" t="n">
        <v>46299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23186.49</v>
      </c>
      <c r="H38" s="6" t="inlineStr">
        <is>
          <t>העברה מאת: אל איי הנד 12-703-000496840 ועד דירה 57</t>
        </is>
      </c>
    </row>
    <row r="39" customFormat="1" s="6">
      <c r="A39" s="4" t="n">
        <v>46299</v>
      </c>
      <c r="B39" s="4" t="n">
        <v>46299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23536.49</v>
      </c>
      <c r="H39" s="6" t="inlineStr">
        <is>
          <t>העברה מאת: אסולין יעק 12-704-000263394 ועד בית</t>
        </is>
      </c>
    </row>
    <row r="40" customFormat="1" s="6">
      <c r="A40" s="4" t="n">
        <v>46299</v>
      </c>
      <c r="B40" s="4" t="n">
        <v>46299</v>
      </c>
      <c r="C40" s="6" t="inlineStr">
        <is>
          <t>בנק הפועלים</t>
        </is>
      </c>
      <c r="D40" s="6" t="n">
        <v>99012</v>
      </c>
      <c r="E40" s="6" t="n">
        <v>0</v>
      </c>
      <c r="F40" s="6" t="n">
        <v>350</v>
      </c>
      <c r="G40" s="5" t="n">
        <v>23886.49</v>
      </c>
      <c r="H40" s="6" t="inlineStr">
        <is>
          <t>העברה מאת: פולונסקי א 12-728-000012111 דירה 52</t>
        </is>
      </c>
    </row>
    <row r="41" customFormat="1" s="6">
      <c r="A41" s="4" t="n">
        <v>46299</v>
      </c>
      <c r="B41" s="4" t="n">
        <v>46299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350</v>
      </c>
      <c r="G41" s="5" t="n">
        <v>24236.49</v>
      </c>
      <c r="H41" s="6" t="inlineStr">
        <is>
          <t>העברה מאת: מוגילבסקי 12-728-000685973 תשלום וועד דירה 55</t>
        </is>
      </c>
    </row>
    <row r="42" customFormat="1" s="6">
      <c r="A42" s="4" t="n">
        <v>46299</v>
      </c>
      <c r="B42" s="4" t="n">
        <v>46299</v>
      </c>
      <c r="C42" s="6" t="inlineStr">
        <is>
          <t>בנק אוצר החיל</t>
        </is>
      </c>
      <c r="D42" s="6" t="n">
        <v>99014</v>
      </c>
      <c r="E42" s="6" t="n">
        <v>0</v>
      </c>
      <c r="F42" s="6" t="n">
        <v>350</v>
      </c>
      <c r="G42" s="5" t="n">
        <v>24586.49</v>
      </c>
      <c r="H42" s="6" t="inlineStr">
        <is>
          <t>העברה מאת: כהן אביאל 14-350-000175551 ועד בית</t>
        </is>
      </c>
    </row>
    <row r="43" customFormat="1" s="6">
      <c r="A43" s="4" t="n">
        <v>46299</v>
      </c>
      <c r="B43" s="4" t="n">
        <v>46299</v>
      </c>
      <c r="C43" s="6" t="inlineStr">
        <is>
          <t>בנק אוצר החיל</t>
        </is>
      </c>
      <c r="D43" s="6" t="n">
        <v>99014</v>
      </c>
      <c r="E43" s="6" t="n">
        <v>0</v>
      </c>
      <c r="F43" s="6" t="n">
        <v>350</v>
      </c>
      <c r="G43" s="5" t="n">
        <v>24936.49</v>
      </c>
      <c r="H43" s="6" t="inlineStr">
        <is>
          <t>העברה מאת: זלץ ניר ו/או נט 14-362-105079420 העברה לוועד בית</t>
        </is>
      </c>
    </row>
    <row r="44" customFormat="1" s="6">
      <c r="A44" s="4" t="n">
        <v>46299</v>
      </c>
      <c r="B44" s="4" t="n">
        <v>46299</v>
      </c>
      <c r="C44" s="6" t="inlineStr">
        <is>
          <t>בנק אוצר החיל</t>
        </is>
      </c>
      <c r="D44" s="6" t="n">
        <v>99014</v>
      </c>
      <c r="E44" s="6" t="n">
        <v>0</v>
      </c>
      <c r="F44" s="6" t="n">
        <v>350</v>
      </c>
      <c r="G44" s="5" t="n">
        <v>25286.49</v>
      </c>
      <c r="H44" s="6" t="inlineStr">
        <is>
          <t>העברה מאת: איטח ענת ו/או רפ 14-362-000321489 איטח ענת ורפי</t>
        </is>
      </c>
    </row>
    <row r="45" customFormat="1" s="6">
      <c r="A45" s="4" t="n">
        <v>46299</v>
      </c>
      <c r="B45" s="4" t="n">
        <v>46299</v>
      </c>
      <c r="C45" s="6" t="inlineStr">
        <is>
          <t>בנק מזרחי</t>
        </is>
      </c>
      <c r="D45" s="6" t="n">
        <v>99020</v>
      </c>
      <c r="E45" s="6" t="n">
        <v>0</v>
      </c>
      <c r="F45" s="6" t="n">
        <v>350</v>
      </c>
      <c r="G45" s="5" t="n">
        <v>25636.49</v>
      </c>
      <c r="H45" s="6" t="inlineStr">
        <is>
          <t>העברה מאת: וולמיר רות ואלכס 20-441-000075228 עבור דירה 7</t>
        </is>
      </c>
    </row>
    <row r="46" customFormat="1" s="6">
      <c r="A46" s="4" t="n">
        <v>46299</v>
      </c>
      <c r="B46" s="4" t="n">
        <v>46299</v>
      </c>
      <c r="C46" s="6" t="inlineStr">
        <is>
          <t>הוראת קבע</t>
        </is>
      </c>
      <c r="D46" s="6" t="n">
        <v>4512636</v>
      </c>
      <c r="E46" s="6" t="n">
        <v>0</v>
      </c>
      <c r="F46" s="6" t="n">
        <v>350</v>
      </c>
      <c r="G46" s="5" t="n">
        <v>25986.49</v>
      </c>
      <c r="H46" s="6" t="inlineStr">
        <is>
          <t>העברה מאת: קוטיגרו מיכאל 10-948-057374636 תשלום</t>
        </is>
      </c>
    </row>
    <row r="47" customFormat="1" s="6">
      <c r="A47" s="4" t="n">
        <v>46299</v>
      </c>
      <c r="B47" s="4" t="n">
        <v>46299</v>
      </c>
      <c r="C47" s="6" t="inlineStr">
        <is>
          <t>הוראת קבע</t>
        </is>
      </c>
      <c r="D47" s="6" t="n">
        <v>4875354</v>
      </c>
      <c r="E47" s="6" t="n">
        <v>0</v>
      </c>
      <c r="F47" s="6" t="n">
        <v>350</v>
      </c>
      <c r="G47" s="5" t="n">
        <v>26336.49</v>
      </c>
      <c r="H47" s="6" t="inlineStr">
        <is>
          <t>העברה מאת: בר ברקת ישראלי, 10-716-002056289 ועד בית דירה 5</t>
        </is>
      </c>
    </row>
    <row r="48" customFormat="1" s="6">
      <c r="A48" s="4" t="n">
        <v>46299</v>
      </c>
      <c r="B48" s="4" t="n">
        <v>46299</v>
      </c>
      <c r="C48" s="6" t="inlineStr">
        <is>
          <t>הוראת קבע</t>
        </is>
      </c>
      <c r="D48" s="6" t="n">
        <v>4883868</v>
      </c>
      <c r="E48" s="6" t="n">
        <v>0</v>
      </c>
      <c r="F48" s="6" t="n">
        <v>350</v>
      </c>
      <c r="G48" s="5" t="n">
        <v>26686.49</v>
      </c>
      <c r="H48" s="6" t="inlineStr">
        <is>
          <t>העברה מאת: לאוניד שכטמן 10-705-012376080 ועד בית</t>
        </is>
      </c>
    </row>
    <row r="49" customFormat="1" s="6">
      <c r="A49" s="4" t="n">
        <v>46299</v>
      </c>
      <c r="B49" s="4" t="n">
        <v>46299</v>
      </c>
      <c r="C49" s="6" t="inlineStr">
        <is>
          <t>הוראת קבע</t>
        </is>
      </c>
      <c r="D49" s="6" t="n">
        <v>4908474</v>
      </c>
      <c r="E49" s="6" t="n">
        <v>0</v>
      </c>
      <c r="F49" s="6" t="n">
        <v>350</v>
      </c>
      <c r="G49" s="5" t="n">
        <v>27036.49</v>
      </c>
      <c r="H49" s="6" t="inlineStr">
        <is>
          <t>העברה מאת: מנגסטה יטמין 10-885-001146229 דירה 8</t>
        </is>
      </c>
    </row>
    <row r="50" customFormat="1" s="6">
      <c r="A50" s="4" t="n">
        <v>46360</v>
      </c>
      <c r="B50" s="4" t="n">
        <v>46360</v>
      </c>
      <c r="C50" s="6" t="inlineStr">
        <is>
          <t>בנק דיסקונט</t>
        </is>
      </c>
      <c r="D50" s="6" t="n">
        <v>99011</v>
      </c>
      <c r="E50" s="6" t="n">
        <v>0</v>
      </c>
      <c r="F50" s="6" t="n">
        <v>350</v>
      </c>
      <c r="G50" s="5" t="n">
        <v>27386.49</v>
      </c>
      <c r="H50" s="6" t="inlineStr">
        <is>
          <t>העברה מאת: פרחי נדב,פרחי שי 11-107-003913440</t>
        </is>
      </c>
    </row>
    <row r="51" customFormat="1" s="192">
      <c r="A51" s="189" t="n">
        <v>46360</v>
      </c>
      <c r="B51" s="189" t="n">
        <v>46360</v>
      </c>
      <c r="C51" s="192" t="inlineStr">
        <is>
          <t>בנק הפועלים</t>
        </is>
      </c>
      <c r="D51" s="192" t="n">
        <v>99012</v>
      </c>
      <c r="E51" s="192" t="n">
        <v>0</v>
      </c>
      <c r="F51" s="192" t="n">
        <v>250</v>
      </c>
      <c r="G51" s="191" t="n">
        <v>27636.49</v>
      </c>
      <c r="H51" s="192" t="inlineStr">
        <is>
          <t>העברה מאת: אלייב שלמה -שלומ 12-703-000624018 קופה קטנה ועד אגמית תשלום שני</t>
        </is>
      </c>
    </row>
    <row r="52" customFormat="1" s="6">
      <c r="A52" s="4" t="n">
        <v>46360</v>
      </c>
      <c r="B52" s="4" t="n">
        <v>46360</v>
      </c>
      <c r="C52" s="6" t="inlineStr">
        <is>
          <t>בנק הפועלים</t>
        </is>
      </c>
      <c r="D52" s="6" t="n">
        <v>99012</v>
      </c>
      <c r="E52" s="6" t="n">
        <v>0</v>
      </c>
      <c r="F52" s="6" t="n">
        <v>350</v>
      </c>
      <c r="G52" s="5" t="n">
        <v>27986.49</v>
      </c>
      <c r="H52" s="6" t="inlineStr">
        <is>
          <t>העברה מאת: אלייב שלמה -שלומ 12-703-000624018 ועד בית חודש אפריל</t>
        </is>
      </c>
    </row>
    <row r="53" customFormat="1" s="192">
      <c r="A53" s="189" t="n">
        <v>46360</v>
      </c>
      <c r="B53" s="189" t="n">
        <v>46360</v>
      </c>
      <c r="C53" s="192" t="inlineStr">
        <is>
          <t>בנק הפועלים</t>
        </is>
      </c>
      <c r="D53" s="192" t="n">
        <v>99012</v>
      </c>
      <c r="E53" s="192" t="n">
        <v>0</v>
      </c>
      <c r="F53" s="192" t="n">
        <v>500</v>
      </c>
      <c r="G53" s="191" t="n">
        <v>28486.49</v>
      </c>
      <c r="H53" s="192" t="inlineStr">
        <is>
          <t>העברה מאת: אסולין יעקב ובן 12-704-000263394 קופה קטנה דירה 30</t>
        </is>
      </c>
    </row>
    <row r="54" customFormat="1" s="6">
      <c r="A54" s="4" t="n">
        <v>46360</v>
      </c>
      <c r="B54" s="4" t="n">
        <v>46360</v>
      </c>
      <c r="C54" s="6" t="inlineStr">
        <is>
          <t>הוראת קבע</t>
        </is>
      </c>
      <c r="D54" s="6" t="n">
        <v>4974656</v>
      </c>
      <c r="E54" s="6" t="n">
        <v>0</v>
      </c>
      <c r="F54" s="6" t="n">
        <v>350</v>
      </c>
      <c r="G54" s="5" t="n">
        <v>28836.49</v>
      </c>
      <c r="H54" s="6" t="inlineStr">
        <is>
          <t>העברה מאת: מיכאל זבוליוב, א 10-885-002348011 ועד בית</t>
        </is>
      </c>
    </row>
    <row r="55" customFormat="1" s="39">
      <c r="A55" s="174" t="n">
        <v>46360</v>
      </c>
      <c r="B55" s="174" t="n">
        <v>46360</v>
      </c>
      <c r="C55" s="39" t="inlineStr">
        <is>
          <t>העברה דיגיטל</t>
        </is>
      </c>
      <c r="D55" s="39" t="n">
        <v>235254</v>
      </c>
      <c r="E55" s="39" t="n">
        <v>0</v>
      </c>
      <c r="F55" s="39" t="n">
        <v>550</v>
      </c>
      <c r="G55" s="136" t="n">
        <v>29386.49</v>
      </c>
      <c r="H55" s="39" t="inlineStr">
        <is>
          <t>העברה מאת: סוזאנה שושנה 10-885-010687480 דירה 22 ועד אפריל קק חלק</t>
        </is>
      </c>
    </row>
    <row r="56" customFormat="1" s="6">
      <c r="A56" s="6" t="inlineStr">
        <is>
          <t>14/04/2026</t>
        </is>
      </c>
      <c r="B56" s="6" t="inlineStr">
        <is>
          <t>14/04/2026</t>
        </is>
      </c>
      <c r="C56" s="6" t="inlineStr">
        <is>
          <t>בנק אוצר החיל</t>
        </is>
      </c>
      <c r="D56" s="6" t="n">
        <v>99014</v>
      </c>
      <c r="E56" s="6" t="n">
        <v>0</v>
      </c>
      <c r="F56" s="6" t="n">
        <v>350</v>
      </c>
      <c r="G56" s="5" t="n">
        <v>29736.49</v>
      </c>
      <c r="H56" s="6" t="inlineStr">
        <is>
          <t>העברה מאת: מקייס סאספורתס ק 14-362-105318123 וועד (הערת לקוח)</t>
        </is>
      </c>
    </row>
    <row r="57" customFormat="1" s="6">
      <c r="A57" s="6" t="inlineStr">
        <is>
          <t>14/04/2026</t>
        </is>
      </c>
      <c r="B57" s="6" t="inlineStr">
        <is>
          <t>14/04/2026</t>
        </is>
      </c>
      <c r="C57" s="6" t="inlineStr">
        <is>
          <t>מהבינלאומי ס-י</t>
        </is>
      </c>
      <c r="D57" s="6" t="n">
        <v>99031</v>
      </c>
      <c r="E57" s="6" t="n">
        <v>0</v>
      </c>
      <c r="F57" s="6" t="n">
        <v>350</v>
      </c>
      <c r="G57" s="5" t="n">
        <v>30086.49</v>
      </c>
      <c r="H57" s="6" t="inlineStr">
        <is>
          <t>העברה מאת: לב משה ו/או מרקו 31-007-105009100 דירה 24 מש לב (הערת לקוח)</t>
        </is>
      </c>
    </row>
    <row r="58" customFormat="1" s="6">
      <c r="A58" s="6" t="inlineStr">
        <is>
          <t>15/04/2026</t>
        </is>
      </c>
      <c r="B58" s="6" t="inlineStr">
        <is>
          <t>15/04/2026</t>
        </is>
      </c>
      <c r="C58" s="6" t="inlineStr">
        <is>
          <t>מבנק יהב ס.-י</t>
        </is>
      </c>
      <c r="D58" s="6" t="n">
        <v>99004</v>
      </c>
      <c r="E58" s="6" t="n">
        <v>0</v>
      </c>
      <c r="F58" s="6" t="n">
        <v>350</v>
      </c>
      <c r="G58" s="5" t="n">
        <v>30436.49</v>
      </c>
      <c r="H58" s="6" t="inlineStr">
        <is>
          <t>העברה מאת: יונה חמד 04-140-000473912</t>
        </is>
      </c>
    </row>
    <row r="59" customFormat="1" s="6">
      <c r="A59" s="6" t="inlineStr">
        <is>
          <t>15/04/2026</t>
        </is>
      </c>
      <c r="B59" s="6" t="inlineStr">
        <is>
          <t>15/04/2026</t>
        </is>
      </c>
      <c r="C59" s="6" t="inlineStr">
        <is>
          <t>בנק הפועלים</t>
        </is>
      </c>
      <c r="D59" s="6" t="n">
        <v>99012</v>
      </c>
      <c r="E59" s="6" t="n">
        <v>0</v>
      </c>
      <c r="F59" s="6" t="n">
        <v>350</v>
      </c>
      <c r="G59" s="5" t="n">
        <v>30786.49</v>
      </c>
      <c r="H59" s="6" t="inlineStr">
        <is>
          <t>העברה מאת: ממן אושרי 12-703-000364148 תשלום ועד משפחת ממן</t>
        </is>
      </c>
    </row>
    <row r="60" customFormat="1" s="6">
      <c r="A60" s="6" t="inlineStr">
        <is>
          <t>15/04/2026</t>
        </is>
      </c>
      <c r="B60" s="6" t="inlineStr">
        <is>
          <t>15/04/2026</t>
        </is>
      </c>
      <c r="C60" s="6" t="inlineStr">
        <is>
          <t>בנק מזרחי</t>
        </is>
      </c>
      <c r="D60" s="6" t="n">
        <v>99020</v>
      </c>
      <c r="E60" s="6" t="n">
        <v>0</v>
      </c>
      <c r="F60" s="6" t="n">
        <v>350</v>
      </c>
      <c r="G60" s="5" t="n">
        <v>31136.49</v>
      </c>
      <c r="H60" s="6" t="inlineStr">
        <is>
          <t>העברה מאת: רובקין מרגריטה ו 20-444-000494106</t>
        </is>
      </c>
    </row>
    <row r="61" customFormat="1" s="6">
      <c r="A61" s="6" t="inlineStr">
        <is>
          <t>15/04/2026</t>
        </is>
      </c>
      <c r="B61" s="6" t="inlineStr">
        <is>
          <t>15/04/2026</t>
        </is>
      </c>
      <c r="C61" s="6" t="inlineStr">
        <is>
          <t>בנק מזרחי</t>
        </is>
      </c>
      <c r="D61" s="6" t="n">
        <v>99020</v>
      </c>
      <c r="E61" s="6" t="n">
        <v>0</v>
      </c>
      <c r="F61" s="6" t="n">
        <v>350</v>
      </c>
      <c r="G61" s="5" t="n">
        <v>31486.49</v>
      </c>
      <c r="H61" s="6" t="inlineStr">
        <is>
          <t>העברה מאת: בכר שי 20-523-000260701</t>
        </is>
      </c>
    </row>
    <row r="62" customFormat="1" s="6">
      <c r="A62" s="6" t="inlineStr">
        <is>
          <t>15/04/2026</t>
        </is>
      </c>
      <c r="B62" s="6" t="inlineStr">
        <is>
          <t>15/04/2026</t>
        </is>
      </c>
      <c r="C62" s="6" t="inlineStr">
        <is>
          <t>הוראת קבע</t>
        </is>
      </c>
      <c r="D62" s="6" t="n">
        <v>4795693</v>
      </c>
      <c r="E62" s="6" t="n">
        <v>0</v>
      </c>
      <c r="F62" s="6" t="n">
        <v>350</v>
      </c>
      <c r="G62" s="5" t="n">
        <v>31836.49</v>
      </c>
      <c r="H62" s="6" t="inlineStr">
        <is>
          <t>העברה מאת: חן לוי, נתנאל לו 10-885-002439793 שכר דירה</t>
        </is>
      </c>
    </row>
    <row r="63" customFormat="1" s="6">
      <c r="A63" s="6" t="inlineStr">
        <is>
          <t>15/04/2026</t>
        </is>
      </c>
      <c r="B63" s="6" t="inlineStr">
        <is>
          <t>15/04/2026</t>
        </is>
      </c>
      <c r="C63" s="6" t="inlineStr">
        <is>
          <t>הוראת קבע</t>
        </is>
      </c>
      <c r="D63" s="6" t="n">
        <v>4865441</v>
      </c>
      <c r="E63" s="6" t="n">
        <v>0</v>
      </c>
      <c r="F63" s="6" t="n">
        <v>350</v>
      </c>
      <c r="G63" s="5" t="n">
        <v>32186.49</v>
      </c>
      <c r="H63" s="6" t="inlineStr">
        <is>
          <t>העברה מאת: רביבו מאור 10-885-001567984 ועד בית דירה 6</t>
        </is>
      </c>
    </row>
    <row r="64" customFormat="1" s="6">
      <c r="A64" s="6" t="inlineStr">
        <is>
          <t>15/04/2026</t>
        </is>
      </c>
      <c r="B64" s="6" t="inlineStr">
        <is>
          <t>15/04/2026</t>
        </is>
      </c>
      <c r="C64" s="6" t="inlineStr">
        <is>
          <t>הוראת קבע</t>
        </is>
      </c>
      <c r="D64" s="6" t="n">
        <v>4865951</v>
      </c>
      <c r="E64" s="6" t="n">
        <v>0</v>
      </c>
      <c r="F64" s="6" t="n">
        <v>350</v>
      </c>
      <c r="G64" s="5" t="n">
        <v>32536.49</v>
      </c>
      <c r="H64" s="6" t="inlineStr">
        <is>
          <t>העברה מאת: טטיאנה סיגל, אלי 10-882-020472034 תשלום</t>
        </is>
      </c>
    </row>
    <row r="65" customFormat="1" s="6">
      <c r="A65" s="6" t="inlineStr">
        <is>
          <t>15/04/2026</t>
        </is>
      </c>
      <c r="B65" s="6" t="inlineStr">
        <is>
          <t>15/04/2026</t>
        </is>
      </c>
      <c r="C65" s="6" t="inlineStr">
        <is>
          <t>הוראת קבע</t>
        </is>
      </c>
      <c r="D65" s="6" t="n">
        <v>4870920</v>
      </c>
      <c r="E65" s="6" t="n">
        <v>0</v>
      </c>
      <c r="F65" s="6" t="n">
        <v>350</v>
      </c>
      <c r="G65" s="5" t="n">
        <v>32886.49</v>
      </c>
      <c r="H65" s="6" t="inlineStr">
        <is>
          <t>העברה מאת: גלמן אירינה 10-877-002493094 ועד בית</t>
        </is>
      </c>
    </row>
    <row r="66" customFormat="1" s="6">
      <c r="A66" s="6" t="inlineStr">
        <is>
          <t>15/04/2026</t>
        </is>
      </c>
      <c r="B66" s="6" t="inlineStr">
        <is>
          <t>15/04/2026</t>
        </is>
      </c>
      <c r="C66" s="6" t="inlineStr">
        <is>
          <t>הוראת קבע</t>
        </is>
      </c>
      <c r="D66" s="6" t="n">
        <v>4882283</v>
      </c>
      <c r="E66" s="6" t="n">
        <v>0</v>
      </c>
      <c r="F66" s="6" t="n">
        <v>350</v>
      </c>
      <c r="G66" s="5" t="n">
        <v>33236.49</v>
      </c>
      <c r="H66" s="6" t="inlineStr">
        <is>
          <t>העברה מאת: קטרין קוט 10-891-004022651 ועד דירה 51 אריסון</t>
        </is>
      </c>
    </row>
    <row r="67" customFormat="1" s="6">
      <c r="A67" s="6" t="inlineStr">
        <is>
          <t>17/04/2026</t>
        </is>
      </c>
      <c r="B67" s="6" t="inlineStr">
        <is>
          <t>17/04/2026</t>
        </is>
      </c>
      <c r="C67" s="6" t="inlineStr">
        <is>
          <t>בנק הפועלים</t>
        </is>
      </c>
      <c r="D67" s="6" t="n">
        <v>99012</v>
      </c>
      <c r="E67" s="6" t="n">
        <v>0</v>
      </c>
      <c r="F67" s="6" t="n">
        <v>350</v>
      </c>
      <c r="G67" s="5" t="n">
        <v>33586.49</v>
      </c>
      <c r="H67" s="6" t="inlineStr">
        <is>
          <t>העברה מאת: סיגלוב דמיטרי או 12-703-000021291 סיגלוב דירה 34</t>
        </is>
      </c>
    </row>
    <row r="68">
      <c r="A68" s="154" t="inlineStr">
        <is>
          <t>17/04/2026</t>
        </is>
      </c>
      <c r="B68" s="154" t="inlineStr">
        <is>
          <t>17/04/2026</t>
        </is>
      </c>
      <c r="C68" s="154" t="inlineStr">
        <is>
          <t>הע. אינטרנט</t>
        </is>
      </c>
      <c r="D68" s="154" t="n">
        <v>57228</v>
      </c>
      <c r="E68" s="154" t="n">
        <v>239</v>
      </c>
      <c r="F68" s="154" t="n">
        <v>0</v>
      </c>
      <c r="G68" s="181" t="n">
        <v>33347.49</v>
      </c>
      <c r="H68" s="154" t="inlineStr">
        <is>
          <t>העברה אל: אבישי שורץ 11-076-006640178 צבע</t>
        </is>
      </c>
    </row>
    <row r="69">
      <c r="A69" s="154" t="inlineStr">
        <is>
          <t>17/04/2026</t>
        </is>
      </c>
      <c r="B69" s="154" t="inlineStr">
        <is>
          <t>17/04/2026</t>
        </is>
      </c>
      <c r="C69" s="154" t="inlineStr">
        <is>
          <t>הע. אינטרנט</t>
        </is>
      </c>
      <c r="D69" s="154" t="n">
        <v>60518</v>
      </c>
      <c r="E69" s="154" t="n">
        <v>69</v>
      </c>
      <c r="F69" s="154" t="n">
        <v>0</v>
      </c>
      <c r="G69" s="181" t="n">
        <v>33278.49</v>
      </c>
      <c r="H69" s="154" t="inlineStr">
        <is>
          <t>העברה אל: אבישי שורץ 11-076-006640178 מברשת פלדה דגל</t>
        </is>
      </c>
    </row>
    <row r="70">
      <c r="A70" s="154" t="inlineStr">
        <is>
          <t>20/04/2026</t>
        </is>
      </c>
      <c r="B70" s="154" t="inlineStr">
        <is>
          <t>20/04/2026</t>
        </is>
      </c>
      <c r="C70" s="154" t="inlineStr">
        <is>
          <t>העברה דיגיטל</t>
        </is>
      </c>
      <c r="D70" s="154" t="n">
        <v>23703</v>
      </c>
      <c r="E70" s="181" t="n">
        <v>2006</v>
      </c>
      <c r="F70" s="154" t="n">
        <v>0</v>
      </c>
      <c r="G70" s="181" t="n">
        <v>31272.49</v>
      </c>
      <c r="H70" s="154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2026-05-08T19:06:45Z</dcterms:modified>
  <cp:lastModifiedBy>Daniel V</cp:lastModifiedBy>
</cp:coreProperties>
</file>